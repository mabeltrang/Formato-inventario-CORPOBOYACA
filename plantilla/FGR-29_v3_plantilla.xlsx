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-16320" windowWidth="29040" windowHeight="15720" tabRatio="600" firstSheet="0" activeTab="1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&quot;$&quot;\ #,##0.00"/>
    <numFmt numFmtId="166" formatCode="_-&quot;$&quot;\ * #,##0.00_-;\-&quot;$&quot;\ * #,##0.00_-;_-&quot;$&quot;\ * &quot;-&quot;??_-;_-@_-"/>
  </numFmts>
  <fonts count="21">
    <font>
      <name val="Times New Roman"/>
      <charset val="204"/>
      <color rgb="FF000000"/>
      <sz val="10"/>
    </font>
    <font>
      <name val="Calibri"/>
      <family val="2"/>
      <color theme="1"/>
      <sz val="11"/>
      <scheme val="minor"/>
    </font>
    <font>
      <name val="Arial MT"/>
      <sz val="9"/>
    </font>
    <font>
      <name val="Arial MT"/>
      <family val="2"/>
      <color rgb="FF000000"/>
      <sz val="9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b val="1"/>
      <sz val="10"/>
    </font>
    <font>
      <name val="Arial MT"/>
      <family val="2"/>
      <color rgb="FF000000"/>
      <sz val="10"/>
    </font>
    <font>
      <name val="Arial"/>
      <family val="2"/>
      <b val="1"/>
      <color rgb="FF000000"/>
      <sz val="10"/>
    </font>
    <font>
      <name val="Arial MT"/>
      <sz val="10"/>
    </font>
    <font>
      <name val="Arial"/>
      <family val="2"/>
      <b val="1"/>
      <sz val="14"/>
    </font>
    <font>
      <name val="Arial"/>
      <family val="2"/>
      <b val="1"/>
      <color rgb="FF000000"/>
      <sz val="11"/>
    </font>
    <font>
      <name val="Arial MT"/>
      <family val="2"/>
      <sz val="9"/>
    </font>
    <font>
      <name val="Arial"/>
      <family val="2"/>
      <b val="1"/>
      <sz val="12"/>
      <u val="single"/>
    </font>
    <font>
      <name val="Arial MT"/>
      <family val="2"/>
      <sz val="10"/>
    </font>
    <font>
      <name val="Times New Roman"/>
      <family val="1"/>
      <b val="1"/>
      <color rgb="FF000000"/>
      <sz val="10"/>
    </font>
    <font>
      <name val="Times New Roman"/>
      <family val="1"/>
      <color rgb="FF000000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Arial"/>
      <family val="2"/>
      <sz val="9"/>
    </font>
    <font>
      <name val="Arial"/>
      <family val="2"/>
      <color rgb="FF000000"/>
      <sz val="9"/>
    </font>
  </fonts>
  <fills count="3">
    <fill>
      <patternFill/>
    </fill>
    <fill>
      <patternFill patternType="gray125"/>
    </fill>
    <fill>
      <patternFill patternType="solid">
        <fgColor rgb="FF80808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6" fillId="0" borderId="0"/>
    <xf numFmtId="0" fontId="1" fillId="0" borderId="0"/>
  </cellStyleXfs>
  <cellXfs count="165">
    <xf numFmtId="0" fontId="0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 indent="4"/>
    </xf>
    <xf numFmtId="0" fontId="6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 indent="3"/>
    </xf>
    <xf numFmtId="0" fontId="0" fillId="0" borderId="1" applyAlignment="1" pivotButton="0" quotePrefix="0" xfId="0">
      <alignment horizontal="left" wrapText="1"/>
    </xf>
    <xf numFmtId="1" fontId="7" fillId="0" borderId="1" applyAlignment="1" pivotButton="0" quotePrefix="0" xfId="0">
      <alignment horizontal="right" vertical="top" shrinkToFit="1"/>
    </xf>
    <xf numFmtId="0" fontId="9" fillId="0" borderId="1" applyAlignment="1" pivotButton="0" quotePrefix="0" xfId="0">
      <alignment horizontal="center" vertical="top" wrapText="1"/>
    </xf>
    <xf numFmtId="164" fontId="3" fillId="0" borderId="1" applyAlignment="1" pivotButton="0" quotePrefix="0" xfId="0">
      <alignment horizontal="left" vertical="top" shrinkToFit="1" indent="5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wrapText="1"/>
    </xf>
    <xf numFmtId="165" fontId="15" fillId="0" borderId="1" applyAlignment="1" pivotButton="0" quotePrefix="0" xfId="0">
      <alignment horizontal="center" wrapText="1"/>
    </xf>
    <xf numFmtId="165" fontId="8" fillId="0" borderId="1" applyAlignment="1" pivotButton="0" quotePrefix="0" xfId="0">
      <alignment horizontal="center" vertical="top" shrinkToFit="1"/>
    </xf>
    <xf numFmtId="165" fontId="7" fillId="0" borderId="1" applyAlignment="1" pivotButton="0" quotePrefix="0" xfId="0">
      <alignment horizontal="right" vertical="top" shrinkToFit="1"/>
    </xf>
    <xf numFmtId="166" fontId="8" fillId="0" borderId="1" applyAlignment="1" pivotButton="0" quotePrefix="0" xfId="0">
      <alignment horizontal="right" vertical="top" shrinkToFit="1"/>
    </xf>
    <xf numFmtId="0" fontId="17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166" fontId="18" fillId="0" borderId="1" applyAlignment="1" pivotButton="0" quotePrefix="0" xfId="1">
      <alignment horizontal="right" vertical="top" shrinkToFit="1"/>
    </xf>
    <xf numFmtId="165" fontId="8" fillId="0" borderId="1" applyAlignment="1" pivotButton="0" quotePrefix="0" xfId="0">
      <alignment horizontal="right" vertical="top" shrinkToFit="1"/>
    </xf>
    <xf numFmtId="0" fontId="19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left" vertical="top" wrapText="1" indent="4"/>
    </xf>
    <xf numFmtId="164" fontId="20" fillId="0" borderId="1" applyAlignment="1" pivotButton="0" quotePrefix="0" xfId="0">
      <alignment horizontal="left" vertical="top" shrinkToFit="1" indent="4"/>
    </xf>
    <xf numFmtId="0" fontId="18" fillId="0" borderId="1" applyAlignment="1" pivotButton="0" quotePrefix="0" xfId="0">
      <alignment horizontal="center" vertical="top" wrapText="1"/>
    </xf>
    <xf numFmtId="165" fontId="18" fillId="0" borderId="1" applyAlignment="1" pivotButton="0" quotePrefix="0" xfId="0">
      <alignment horizontal="center" wrapText="1"/>
    </xf>
    <xf numFmtId="165" fontId="8" fillId="0" borderId="1" applyAlignment="1" pivotButton="0" quotePrefix="0" xfId="0">
      <alignment horizontal="center" wrapText="1"/>
    </xf>
    <xf numFmtId="0" fontId="18" fillId="0" borderId="0" applyAlignment="1" pivotButton="0" quotePrefix="0" xfId="0">
      <alignment horizontal="center" vertical="top"/>
    </xf>
    <xf numFmtId="0" fontId="17" fillId="0" borderId="4" applyAlignment="1" pivotButton="0" quotePrefix="0" xfId="0">
      <alignment horizontal="center" vertical="top" wrapText="1"/>
    </xf>
    <xf numFmtId="0" fontId="17" fillId="0" borderId="16" applyAlignment="1" pivotButton="0" quotePrefix="0" xfId="0">
      <alignment horizontal="center" vertical="top" wrapText="1"/>
    </xf>
    <xf numFmtId="166" fontId="18" fillId="0" borderId="5" applyAlignment="1" pivotButton="0" quotePrefix="0" xfId="1">
      <alignment horizontal="right" vertical="top" shrinkToFit="1"/>
    </xf>
    <xf numFmtId="0" fontId="18" fillId="0" borderId="4" applyAlignment="1" pivotButton="0" quotePrefix="0" xfId="0">
      <alignment horizontal="center" wrapText="1"/>
    </xf>
    <xf numFmtId="166" fontId="0" fillId="0" borderId="0" applyAlignment="1" pivotButton="0" quotePrefix="0" xfId="0">
      <alignment horizontal="left" vertical="top"/>
    </xf>
    <xf numFmtId="0" fontId="4" fillId="0" borderId="5" applyAlignment="1" pivotButton="0" quotePrefix="0" xfId="0">
      <alignment horizontal="center" vertical="top" wrapText="1"/>
    </xf>
    <xf numFmtId="0" fontId="4" fillId="0" borderId="7" applyAlignment="1" pivotButton="0" quotePrefix="0" xfId="0">
      <alignment horizontal="center" vertical="top" wrapText="1"/>
    </xf>
    <xf numFmtId="0" fontId="0" fillId="2" borderId="5" applyAlignment="1" pivotButton="0" quotePrefix="0" xfId="0">
      <alignment horizontal="left" wrapText="1"/>
    </xf>
    <xf numFmtId="0" fontId="0" fillId="2" borderId="7" applyAlignment="1" pivotButton="0" quotePrefix="0" xfId="0">
      <alignment horizontal="left" wrapText="1"/>
    </xf>
    <xf numFmtId="0" fontId="0" fillId="0" borderId="5" applyAlignment="1" pivotButton="0" quotePrefix="0" xfId="0">
      <alignment horizontal="left" wrapText="1"/>
    </xf>
    <xf numFmtId="0" fontId="0" fillId="0" borderId="7" applyAlignment="1" pivotButton="0" quotePrefix="0" xfId="0">
      <alignment horizontal="left" wrapText="1"/>
    </xf>
    <xf numFmtId="0" fontId="14" fillId="0" borderId="5" applyAlignment="1" pivotButton="0" quotePrefix="0" xfId="0">
      <alignment horizontal="left" vertical="top" wrapText="1"/>
    </xf>
    <xf numFmtId="0" fontId="14" fillId="0" borderId="7" applyAlignment="1" pivotButton="0" quotePrefix="0" xfId="0">
      <alignment horizontal="left" vertical="top" wrapText="1"/>
    </xf>
    <xf numFmtId="0" fontId="18" fillId="0" borderId="5" applyAlignment="1" pivotButton="0" quotePrefix="0" xfId="0">
      <alignment horizontal="left" wrapText="1"/>
    </xf>
    <xf numFmtId="0" fontId="18" fillId="0" borderId="7" applyAlignment="1" pivotButton="0" quotePrefix="0" xfId="0">
      <alignment horizontal="left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wrapText="1"/>
    </xf>
    <xf numFmtId="0" fontId="4" fillId="0" borderId="5" applyAlignment="1" pivotButton="0" quotePrefix="0" xfId="0">
      <alignment horizontal="left" vertical="top" wrapText="1" indent="9"/>
    </xf>
    <xf numFmtId="0" fontId="4" fillId="0" borderId="7" applyAlignment="1" pivotButton="0" quotePrefix="0" xfId="0">
      <alignment horizontal="left" vertical="top" wrapText="1" indent="9"/>
    </xf>
    <xf numFmtId="0" fontId="0" fillId="0" borderId="6" applyAlignment="1" pivotButton="0" quotePrefix="0" xfId="0">
      <alignment horizontal="left" wrapText="1"/>
    </xf>
    <xf numFmtId="0" fontId="0" fillId="0" borderId="5" applyAlignment="1" pivotButton="0" quotePrefix="0" xfId="0">
      <alignment horizontal="left" vertical="top" wrapText="1" indent="2"/>
    </xf>
    <xf numFmtId="0" fontId="0" fillId="0" borderId="6" applyAlignment="1" pivotButton="0" quotePrefix="0" xfId="0">
      <alignment horizontal="left" vertical="top" wrapText="1" indent="2"/>
    </xf>
    <xf numFmtId="0" fontId="0" fillId="0" borderId="7" applyAlignment="1" pivotButton="0" quotePrefix="0" xfId="0">
      <alignment horizontal="left" vertical="top" wrapText="1" indent="2"/>
    </xf>
    <xf numFmtId="165" fontId="11" fillId="0" borderId="5" applyAlignment="1" pivotButton="0" quotePrefix="0" xfId="0">
      <alignment horizontal="center" vertical="top" shrinkToFit="1"/>
    </xf>
    <xf numFmtId="165" fontId="11" fillId="0" borderId="7" applyAlignment="1" pivotButton="0" quotePrefix="0" xfId="0">
      <alignment horizontal="center" vertical="top" shrinkToFit="1"/>
    </xf>
    <xf numFmtId="0" fontId="0" fillId="0" borderId="9" applyAlignment="1" pivotButton="0" quotePrefix="0" xfId="0">
      <alignment horizontal="left" wrapText="1"/>
    </xf>
    <xf numFmtId="0" fontId="0" fillId="0" borderId="14" applyAlignment="1" pivotButton="0" quotePrefix="0" xfId="0">
      <alignment horizontal="left" wrapText="1"/>
    </xf>
    <xf numFmtId="0" fontId="0" fillId="0" borderId="15" applyAlignment="1" pivotButton="0" quotePrefix="0" xfId="0">
      <alignment horizontal="left" wrapText="1"/>
    </xf>
    <xf numFmtId="0" fontId="4" fillId="0" borderId="5" applyAlignment="1" pivotButton="0" quotePrefix="0" xfId="0">
      <alignment horizontal="left" vertical="top" wrapText="1" indent="6"/>
    </xf>
    <xf numFmtId="0" fontId="4" fillId="0" borderId="7" applyAlignment="1" pivotButton="0" quotePrefix="0" xfId="0">
      <alignment horizontal="left" vertical="top" wrapText="1" indent="6"/>
    </xf>
    <xf numFmtId="0" fontId="6" fillId="0" borderId="5" applyAlignment="1" pivotButton="0" quotePrefix="0" xfId="0">
      <alignment horizontal="right" vertical="top" wrapText="1"/>
    </xf>
    <xf numFmtId="0" fontId="6" fillId="0" borderId="6" applyAlignment="1" pivotButton="0" quotePrefix="0" xfId="0">
      <alignment horizontal="right" vertical="top" wrapText="1"/>
    </xf>
    <xf numFmtId="0" fontId="6" fillId="0" borderId="7" applyAlignment="1" pivotButton="0" quotePrefix="0" xfId="0">
      <alignment horizontal="right" vertical="top" wrapText="1"/>
    </xf>
    <xf numFmtId="0" fontId="6" fillId="0" borderId="5" applyAlignment="1" pivotButton="0" quotePrefix="0" xfId="0">
      <alignment horizontal="center" vertical="top" wrapText="1"/>
    </xf>
    <xf numFmtId="0" fontId="6" fillId="0" borderId="6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center" vertical="top" wrapText="1"/>
    </xf>
    <xf numFmtId="165" fontId="8" fillId="0" borderId="5" applyAlignment="1" pivotButton="0" quotePrefix="0" xfId="0">
      <alignment horizontal="center" vertical="top" shrinkToFit="1"/>
    </xf>
    <xf numFmtId="165" fontId="8" fillId="0" borderId="7" applyAlignment="1" pivotButton="0" quotePrefix="0" xfId="0">
      <alignment horizontal="center" vertical="top" shrinkToFit="1"/>
    </xf>
    <xf numFmtId="0" fontId="0" fillId="0" borderId="6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17" fillId="0" borderId="5" applyAlignment="1" pivotButton="0" quotePrefix="0" xfId="0">
      <alignment horizontal="left" vertical="top" wrapText="1"/>
    </xf>
    <xf numFmtId="0" fontId="17" fillId="0" borderId="7" applyAlignment="1" pivotButton="0" quotePrefix="0" xfId="0">
      <alignment horizontal="left" vertical="top" wrapText="1"/>
    </xf>
    <xf numFmtId="0" fontId="17" fillId="0" borderId="6" applyAlignment="1" pivotButton="0" quotePrefix="0" xfId="0">
      <alignment horizontal="left" vertical="top" wrapText="1"/>
    </xf>
    <xf numFmtId="0" fontId="18" fillId="0" borderId="6" applyAlignment="1" pivotButton="0" quotePrefix="0" xfId="0">
      <alignment horizontal="left" vertical="top"/>
    </xf>
    <xf numFmtId="0" fontId="18" fillId="0" borderId="7" applyAlignment="1" pivotButton="0" quotePrefix="0" xfId="0">
      <alignment horizontal="left" vertical="top"/>
    </xf>
    <xf numFmtId="0" fontId="18" fillId="0" borderId="5" applyAlignment="1" pivotButton="0" quotePrefix="0" xfId="0">
      <alignment wrapText="1"/>
    </xf>
    <xf numFmtId="0" fontId="18" fillId="0" borderId="7" applyAlignment="1" pivotButton="0" quotePrefix="0" xfId="0">
      <alignment wrapText="1"/>
    </xf>
    <xf numFmtId="0" fontId="10" fillId="0" borderId="5" applyAlignment="1" pivotButton="0" quotePrefix="0" xfId="0">
      <alignment horizontal="center" vertical="top" wrapText="1"/>
    </xf>
    <xf numFmtId="0" fontId="10" fillId="0" borderId="6" applyAlignment="1" pivotButton="0" quotePrefix="0" xfId="0">
      <alignment horizontal="center" vertical="top" wrapText="1"/>
    </xf>
    <xf numFmtId="0" fontId="10" fillId="0" borderId="7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top" wrapText="1" indent="25"/>
    </xf>
    <xf numFmtId="0" fontId="4" fillId="0" borderId="6" applyAlignment="1" pivotButton="0" quotePrefix="0" xfId="0">
      <alignment horizontal="left" vertical="top" wrapText="1" indent="25"/>
    </xf>
    <xf numFmtId="0" fontId="4" fillId="0" borderId="7" applyAlignment="1" pivotButton="0" quotePrefix="0" xfId="0">
      <alignment horizontal="left" vertical="top" wrapText="1" indent="25"/>
    </xf>
    <xf numFmtId="0" fontId="17" fillId="0" borderId="5" applyAlignment="1" pivotButton="0" quotePrefix="0" xfId="0">
      <alignment vertical="top" wrapText="1"/>
    </xf>
    <xf numFmtId="0" fontId="17" fillId="0" borderId="7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 indent="9"/>
    </xf>
    <xf numFmtId="0" fontId="2" fillId="0" borderId="7" applyAlignment="1" pivotButton="0" quotePrefix="0" xfId="0">
      <alignment horizontal="left" vertical="center" wrapText="1" indent="9"/>
    </xf>
    <xf numFmtId="0" fontId="2" fillId="0" borderId="8" applyAlignment="1" pivotButton="0" quotePrefix="0" xfId="0">
      <alignment horizontal="center" vertical="top" wrapText="1"/>
    </xf>
    <xf numFmtId="0" fontId="2" fillId="0" borderId="9" applyAlignment="1" pivotButton="0" quotePrefix="0" xfId="0">
      <alignment horizontal="center" vertical="top" wrapText="1"/>
    </xf>
    <xf numFmtId="0" fontId="2" fillId="0" borderId="10" applyAlignment="1" pivotButton="0" quotePrefix="0" xfId="0">
      <alignment horizontal="center" vertical="top" wrapText="1"/>
    </xf>
    <xf numFmtId="0" fontId="2" fillId="0" borderId="1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 vertical="top" wrapText="1"/>
    </xf>
    <xf numFmtId="0" fontId="2" fillId="0" borderId="13" applyAlignment="1" pivotButton="0" quotePrefix="0" xfId="0">
      <alignment horizontal="center" vertical="top" wrapText="1"/>
    </xf>
    <xf numFmtId="0" fontId="2" fillId="0" borderId="14" applyAlignment="1" pivotButton="0" quotePrefix="0" xfId="0">
      <alignment horizontal="center" vertical="top" wrapText="1"/>
    </xf>
    <xf numFmtId="0" fontId="2" fillId="0" borderId="15" applyAlignment="1" pivotButton="0" quotePrefix="0" xfId="0">
      <alignment horizontal="center" vertical="top" wrapText="1"/>
    </xf>
    <xf numFmtId="0" fontId="2" fillId="0" borderId="5" applyAlignment="1" pivotButton="0" quotePrefix="0" xfId="0">
      <alignment horizontal="left" vertical="top" wrapText="1" indent="9"/>
    </xf>
    <xf numFmtId="0" fontId="2" fillId="0" borderId="7" applyAlignment="1" pivotButton="0" quotePrefix="0" xfId="0">
      <alignment horizontal="left" vertical="top" wrapText="1" indent="9"/>
    </xf>
    <xf numFmtId="0" fontId="18" fillId="0" borderId="6" applyAlignment="1" pivotButton="0" quotePrefix="0" xfId="0">
      <alignment vertical="top"/>
    </xf>
    <xf numFmtId="0" fontId="18" fillId="0" borderId="5" applyAlignment="1" pivotButton="0" quotePrefix="0" xfId="0">
      <alignment vertical="top" wrapText="1"/>
    </xf>
    <xf numFmtId="0" fontId="18" fillId="0" borderId="7" applyAlignment="1" pivotButton="0" quotePrefix="0" xfId="0">
      <alignment vertical="top" wrapText="1"/>
    </xf>
    <xf numFmtId="0" fontId="4" fillId="0" borderId="6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left" vertical="top" wrapText="1" indent="23"/>
    </xf>
    <xf numFmtId="0" fontId="4" fillId="0" borderId="6" applyAlignment="1" pivotButton="0" quotePrefix="0" xfId="0">
      <alignment horizontal="left" vertical="top" wrapText="1" indent="23"/>
    </xf>
    <xf numFmtId="0" fontId="4" fillId="0" borderId="7" applyAlignment="1" pivotButton="0" quotePrefix="0" xfId="0">
      <alignment horizontal="left" vertical="top" wrapText="1" indent="23"/>
    </xf>
    <xf numFmtId="0" fontId="5" fillId="0" borderId="6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left" vertical="top" wrapText="1"/>
    </xf>
    <xf numFmtId="0" fontId="18" fillId="0" borderId="3" applyAlignment="1" pivotButton="0" quotePrefix="0" xfId="0">
      <alignment horizontal="left" vertical="top" wrapText="1"/>
    </xf>
    <xf numFmtId="0" fontId="18" fillId="0" borderId="4" applyAlignment="1" pivotButton="0" quotePrefix="0" xfId="0">
      <alignment horizontal="left" vertical="top" wrapText="1"/>
    </xf>
    <xf numFmtId="0" fontId="19" fillId="0" borderId="5" applyAlignment="1" pivotButton="0" quotePrefix="0" xfId="0">
      <alignment horizontal="center" vertical="top" wrapText="1"/>
    </xf>
    <xf numFmtId="0" fontId="19" fillId="0" borderId="6" applyAlignment="1" pivotButton="0" quotePrefix="0" xfId="0">
      <alignment horizontal="center" vertical="top" wrapText="1"/>
    </xf>
    <xf numFmtId="0" fontId="19" fillId="0" borderId="7" applyAlignment="1" pivotButton="0" quotePrefix="0" xfId="0">
      <alignment horizontal="center" vertical="top" wrapText="1"/>
    </xf>
    <xf numFmtId="0" fontId="19" fillId="0" borderId="5" applyAlignment="1" pivotButton="0" quotePrefix="0" xfId="0">
      <alignment horizontal="left" vertical="top" wrapText="1" indent="7"/>
    </xf>
    <xf numFmtId="0" fontId="19" fillId="0" borderId="7" applyAlignment="1" pivotButton="0" quotePrefix="0" xfId="0">
      <alignment horizontal="left" vertical="top" wrapText="1" indent="7"/>
    </xf>
    <xf numFmtId="0" fontId="19" fillId="0" borderId="8" applyAlignment="1" pivotButton="0" quotePrefix="0" xfId="0">
      <alignment horizontal="center" vertical="top" wrapText="1"/>
    </xf>
    <xf numFmtId="0" fontId="19" fillId="0" borderId="9" applyAlignment="1" pivotButton="0" quotePrefix="0" xfId="0">
      <alignment horizontal="center" vertical="top" wrapText="1"/>
    </xf>
    <xf numFmtId="0" fontId="19" fillId="0" borderId="10" applyAlignment="1" pivotButton="0" quotePrefix="0" xfId="0">
      <alignment horizontal="center" vertical="top" wrapText="1"/>
    </xf>
    <xf numFmtId="0" fontId="19" fillId="0" borderId="11" applyAlignment="1" pivotButton="0" quotePrefix="0" xfId="0">
      <alignment horizontal="center" vertical="top" wrapText="1"/>
    </xf>
    <xf numFmtId="0" fontId="19" fillId="0" borderId="0" applyAlignment="1" pivotButton="0" quotePrefix="0" xfId="0">
      <alignment horizontal="center" vertical="top" wrapText="1"/>
    </xf>
    <xf numFmtId="0" fontId="19" fillId="0" borderId="12" applyAlignment="1" pivotButton="0" quotePrefix="0" xfId="0">
      <alignment horizontal="center" vertical="top" wrapText="1"/>
    </xf>
    <xf numFmtId="0" fontId="19" fillId="0" borderId="13" applyAlignment="1" pivotButton="0" quotePrefix="0" xfId="0">
      <alignment horizontal="center" vertical="top" wrapText="1"/>
    </xf>
    <xf numFmtId="0" fontId="19" fillId="0" borderId="14" applyAlignment="1" pivotButton="0" quotePrefix="0" xfId="0">
      <alignment horizontal="center" vertical="top" wrapText="1"/>
    </xf>
    <xf numFmtId="0" fontId="19" fillId="0" borderId="15" applyAlignment="1" pivotButton="0" quotePrefix="0" xfId="0">
      <alignment horizontal="center" vertical="top" wrapText="1"/>
    </xf>
    <xf numFmtId="0" fontId="0" fillId="0" borderId="0" pivotButton="0" quotePrefix="0" xfId="0"/>
    <xf numFmtId="0" fontId="18" fillId="0" borderId="1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7" pivotButton="0" quotePrefix="0" xfId="0"/>
    <xf numFmtId="0" fontId="19" fillId="0" borderId="1" applyAlignment="1" pivotButton="0" quotePrefix="0" xfId="0">
      <alignment horizontal="left" vertical="top" wrapText="1" indent="7"/>
    </xf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 indent="23"/>
    </xf>
    <xf numFmtId="0" fontId="18" fillId="0" borderId="1" applyAlignment="1" pivotButton="0" quotePrefix="0" xfId="0">
      <alignment horizontal="left" wrapText="1"/>
    </xf>
    <xf numFmtId="166" fontId="18" fillId="0" borderId="1" applyAlignment="1" pivotButton="0" quotePrefix="0" xfId="1">
      <alignment horizontal="right" vertical="top" shrinkToFit="1"/>
    </xf>
    <xf numFmtId="0" fontId="6" fillId="0" borderId="1" applyAlignment="1" pivotButton="0" quotePrefix="0" xfId="0">
      <alignment horizontal="right" vertical="top" wrapText="1"/>
    </xf>
    <xf numFmtId="0" fontId="17" fillId="0" borderId="1" applyAlignment="1" pivotButton="0" quotePrefix="0" xfId="0">
      <alignment vertical="top" wrapText="1"/>
    </xf>
    <xf numFmtId="0" fontId="18" fillId="0" borderId="1" applyAlignment="1" pivotButton="0" quotePrefix="0" xfId="0">
      <alignment wrapText="1"/>
    </xf>
    <xf numFmtId="0" fontId="18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 indent="9"/>
    </xf>
    <xf numFmtId="0" fontId="2" fillId="0" borderId="1" applyAlignment="1" pivotButton="0" quotePrefix="0" xfId="0">
      <alignment horizontal="left" vertical="top" wrapText="1" indent="9"/>
    </xf>
    <xf numFmtId="0" fontId="10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 indent="25"/>
    </xf>
    <xf numFmtId="0" fontId="17" fillId="0" borderId="1" applyAlignment="1" pivotButton="0" quotePrefix="0" xfId="0">
      <alignment horizontal="left" vertical="top" wrapText="1"/>
    </xf>
    <xf numFmtId="166" fontId="18" fillId="0" borderId="5" applyAlignment="1" pivotButton="0" quotePrefix="0" xfId="1">
      <alignment horizontal="right" vertical="top" shrinkToFit="1"/>
    </xf>
    <xf numFmtId="0" fontId="14" fillId="0" borderId="1" applyAlignment="1" pivotButton="0" quotePrefix="0" xfId="0">
      <alignment horizontal="left" vertical="top" wrapText="1"/>
    </xf>
    <xf numFmtId="166" fontId="8" fillId="0" borderId="1" applyAlignment="1" pivotButton="0" quotePrefix="0" xfId="0">
      <alignment horizontal="right" vertical="top" shrinkToFit="1"/>
    </xf>
    <xf numFmtId="166" fontId="0" fillId="0" borderId="0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 indent="2"/>
    </xf>
    <xf numFmtId="165" fontId="11" fillId="0" borderId="1" applyAlignment="1" pivotButton="0" quotePrefix="0" xfId="0">
      <alignment horizontal="center" vertical="top" shrinkToFit="1"/>
    </xf>
    <xf numFmtId="0" fontId="4" fillId="0" borderId="1" applyAlignment="1" pivotButton="0" quotePrefix="0" xfId="0">
      <alignment horizontal="left" vertical="top" wrapText="1" indent="6"/>
    </xf>
    <xf numFmtId="0" fontId="4" fillId="0" borderId="1" applyAlignment="1" pivotButton="0" quotePrefix="0" xfId="0">
      <alignment horizontal="left" vertical="top" wrapText="1" indent="9"/>
    </xf>
    <xf numFmtId="0" fontId="0" fillId="2" borderId="1" applyAlignment="1" pivotButton="0" quotePrefix="0" xfId="0">
      <alignment horizontal="left" wrapText="1"/>
    </xf>
  </cellXfs>
  <cellStyles count="3">
    <cellStyle name="Normal" xfId="0" builtinId="0"/>
    <cellStyle name="Moneda" xfId="1" builtinId="4"/>
    <cellStyle name="Normal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224311</colOff>
      <row>0</row>
      <rowOff>39896</rowOff>
    </from>
    <ext cx="952500" cy="902373"/>
    <pic>
      <nvPicPr>
        <cNvPr id="2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952500" cy="902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211287" cy="1027214"/>
    <pic>
      <nvPicPr>
        <cNvPr id="3" name="image1.jpe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211287" cy="10272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topLeftCell="A18" zoomScaleNormal="100" workbookViewId="0">
      <selection activeCell="E39" sqref="E39:E47"/>
    </sheetView>
  </sheetViews>
  <sheetFormatPr baseColWidth="10" defaultColWidth="8.88671875" defaultRowHeight="13.2"/>
  <cols>
    <col width="24.6640625" customWidth="1" style="127" min="1" max="1"/>
    <col width="28.6640625" customWidth="1" style="127" min="2" max="2"/>
    <col width="20.6640625" customWidth="1" style="127" min="3" max="3"/>
    <col width="24.21875" customWidth="1" style="127" min="4" max="4"/>
    <col width="22.6640625" customWidth="1" style="127" min="5" max="5"/>
    <col width="27.33203125" customWidth="1" style="127" min="6" max="6"/>
  </cols>
  <sheetData>
    <row r="1" ht="28.95" customHeight="1" s="127">
      <c r="A1" s="128" t="n"/>
      <c r="B1" s="21" t="inlineStr">
        <is>
          <t>CORPORACIÓN AUTÓNOMA REGIONAL DE BOYACÁ</t>
        </is>
      </c>
      <c r="C1" s="129" t="n"/>
      <c r="D1" s="130" t="n"/>
      <c r="E1" s="131" t="inlineStr">
        <is>
          <t>AUTORIDAD AMBIENTAL</t>
        </is>
      </c>
      <c r="F1" s="130" t="n"/>
    </row>
    <row r="2" ht="18" customHeight="1" s="127">
      <c r="A2" s="132" t="n"/>
      <c r="B2" s="21" t="inlineStr">
        <is>
          <t>SISTEMA INTEGRADO GESTION DE LA CALIDAD</t>
        </is>
      </c>
      <c r="C2" s="133" t="n"/>
      <c r="D2" s="134" t="n"/>
      <c r="E2" s="131" t="inlineStr">
        <is>
          <t>FORMATO DE REGISTRO</t>
        </is>
      </c>
      <c r="F2" s="130" t="n"/>
    </row>
    <row r="3" ht="15.3" customHeight="1" s="127">
      <c r="A3" s="132" t="n"/>
      <c r="B3" s="135" t="n"/>
      <c r="D3" s="136" t="n"/>
      <c r="E3" s="21" t="inlineStr">
        <is>
          <t>FGR-29</t>
        </is>
      </c>
      <c r="F3" s="22" t="inlineStr">
        <is>
          <t>Página 1 de 2</t>
        </is>
      </c>
    </row>
    <row r="4" ht="15.3" customHeight="1" s="127">
      <c r="A4" s="137" t="n"/>
      <c r="B4" s="138" t="n"/>
      <c r="C4" s="139" t="n"/>
      <c r="D4" s="140" t="n"/>
      <c r="E4" s="21" t="inlineStr">
        <is>
          <t>Versión 3</t>
        </is>
      </c>
      <c r="F4" s="23" t="n">
        <v>42215</v>
      </c>
    </row>
    <row r="5" ht="21" customHeight="1" s="127">
      <c r="A5" s="141" t="inlineStr">
        <is>
          <t>AUTODECLARACIÓN COSTOS DE INVERSIÓN Y ANUAL DE OPERACIÓN</t>
        </is>
      </c>
      <c r="B5" s="129" t="n"/>
      <c r="C5" s="129" t="n"/>
      <c r="D5" s="129" t="n"/>
      <c r="E5" s="129" t="n"/>
      <c r="F5" s="130" t="n"/>
    </row>
    <row r="6" ht="21.75" customHeight="1" s="127">
      <c r="A6" s="142" t="inlineStr">
        <is>
          <t>PARTE A - COSTOS DE INVERSION             PRECIOS AÑO:         2026</t>
        </is>
      </c>
      <c r="B6" s="129" t="n"/>
      <c r="C6" s="129" t="n"/>
      <c r="D6" s="129" t="n"/>
      <c r="E6" s="129" t="n"/>
      <c r="F6" s="130" t="n"/>
    </row>
    <row r="7" ht="21.75" customHeight="1" s="127">
      <c r="A7" s="109" t="inlineStr">
        <is>
          <t>1. COSTOS DE INVERSION</t>
        </is>
      </c>
      <c r="B7" s="129" t="n"/>
      <c r="C7" s="129" t="n"/>
      <c r="D7" s="129" t="n"/>
      <c r="E7" s="129" t="n"/>
      <c r="F7" s="129" t="n"/>
    </row>
    <row r="8" ht="28.5" customHeight="1" s="127">
      <c r="A8" s="3" t="inlineStr">
        <is>
          <t>DESCRIPCION</t>
        </is>
      </c>
      <c r="B8" s="130" t="n"/>
      <c r="C8" s="24" t="inlineStr">
        <is>
          <t>UNIDAD DE
MEDIDA</t>
        </is>
      </c>
      <c r="D8" s="5" t="inlineStr">
        <is>
          <t>CANTIDAD</t>
        </is>
      </c>
      <c r="E8" s="24" t="inlineStr">
        <is>
          <t>VALOR UNITARIO
($)</t>
        </is>
      </c>
      <c r="F8" s="24" t="inlineStr">
        <is>
          <t>VALOR TOTAL
($)</t>
        </is>
      </c>
    </row>
    <row r="9" ht="23.25" customHeight="1" s="127">
      <c r="A9" s="67" t="inlineStr">
        <is>
          <t>1.1 OBRAS CIVILES (DISEÑO Y CONTRUCCION)</t>
        </is>
      </c>
      <c r="B9" s="129" t="n"/>
      <c r="C9" s="129" t="n"/>
      <c r="D9" s="129" t="n"/>
      <c r="E9" s="129" t="n"/>
      <c r="F9" s="129" t="n"/>
    </row>
    <row r="10" ht="14.55" customHeight="1" s="127">
      <c r="A10" s="143" t="inlineStr">
        <is>
          <t>Tala y transporte menor de árboles (aprovechamiento forestal)</t>
        </is>
      </c>
      <c r="B10" s="130" t="n"/>
      <c r="C10" s="18" t="inlineStr">
        <is>
          <t>m³</t>
        </is>
      </c>
      <c r="D10" s="18" t="n">
        <v>1</v>
      </c>
      <c r="E10" s="144" t="n"/>
      <c r="F10" s="25">
        <f>+E10*D10</f>
        <v/>
      </c>
    </row>
    <row r="11" ht="14.55" customHeight="1" s="127">
      <c r="A11" s="143" t="inlineStr">
        <is>
          <t>Limpieza y descapote del terreno</t>
        </is>
      </c>
      <c r="B11" s="130" t="n"/>
      <c r="C11" s="18" t="inlineStr">
        <is>
          <t>m²</t>
        </is>
      </c>
      <c r="D11" s="18" t="n">
        <v>2500</v>
      </c>
      <c r="E11" s="144" t="n">
        <v>3968</v>
      </c>
      <c r="F11" s="25">
        <f>+E11*D11</f>
        <v/>
      </c>
    </row>
    <row r="12" ht="14.55" customHeight="1" s="127">
      <c r="A12" s="143" t="inlineStr">
        <is>
          <t>Nivelación y compactación del suelo</t>
        </is>
      </c>
      <c r="B12" s="130" t="n"/>
      <c r="C12" s="18" t="inlineStr">
        <is>
          <t>m²</t>
        </is>
      </c>
      <c r="D12" s="18" t="n">
        <v>2500</v>
      </c>
      <c r="E12" s="144" t="n">
        <v>3300</v>
      </c>
      <c r="F12" s="25">
        <f>+E12*D12</f>
        <v/>
      </c>
    </row>
    <row r="13" ht="14.55" customHeight="1" s="127">
      <c r="A13" s="143" t="inlineStr">
        <is>
          <t>Excavación para cimentación de estructuras soporte</t>
        </is>
      </c>
      <c r="B13" s="130" t="n"/>
      <c r="C13" s="18" t="inlineStr">
        <is>
          <t>m³</t>
        </is>
      </c>
      <c r="D13" s="18" t="n">
        <v>45</v>
      </c>
      <c r="E13" s="144" t="n">
        <v>230000</v>
      </c>
      <c r="F13" s="25">
        <f>+E13*D13</f>
        <v/>
      </c>
    </row>
    <row r="14" ht="14.55" customHeight="1" s="127">
      <c r="A14" s="143" t="inlineStr">
        <is>
          <t>Construcción de cimientos y bases de concreto para paneles</t>
        </is>
      </c>
      <c r="B14" s="130" t="n"/>
      <c r="C14" s="18" t="inlineStr">
        <is>
          <t>Global</t>
        </is>
      </c>
      <c r="D14" s="18" t="n">
        <v>1</v>
      </c>
      <c r="E14" s="144" t="n">
        <v>12000000</v>
      </c>
      <c r="F14" s="25">
        <f>+E14*D14</f>
        <v/>
      </c>
    </row>
    <row r="15" ht="14.55" customHeight="1" s="127">
      <c r="A15" s="143" t="inlineStr">
        <is>
          <t>Construcción de vías de acceso interno (placa huella)</t>
        </is>
      </c>
      <c r="B15" s="130" t="n"/>
      <c r="C15" s="18" t="inlineStr">
        <is>
          <t>m</t>
        </is>
      </c>
      <c r="D15" s="18" t="n">
        <v>80</v>
      </c>
      <c r="E15" s="144" t="n">
        <v>196000</v>
      </c>
      <c r="F15" s="25">
        <f>+E15*D15</f>
        <v/>
      </c>
    </row>
    <row r="16" ht="15" customHeight="1" s="127">
      <c r="A16" s="143" t="inlineStr">
        <is>
          <t>Construcción de cuarto de control / inversor</t>
        </is>
      </c>
      <c r="B16" s="130" t="n"/>
      <c r="C16" s="18" t="inlineStr">
        <is>
          <t>m</t>
        </is>
      </c>
      <c r="D16" s="18" t="n">
        <v>200</v>
      </c>
      <c r="E16" s="144" t="n">
        <v>70000</v>
      </c>
      <c r="F16" s="25">
        <f>+E16*D16</f>
        <v/>
      </c>
    </row>
    <row r="17" ht="14.55" customHeight="1" s="127">
      <c r="A17" s="143" t="inlineStr">
        <is>
          <t>Cerramiento perimetral del área del proyecto</t>
        </is>
      </c>
      <c r="B17" s="130" t="n"/>
      <c r="C17" s="18" t="inlineStr">
        <is>
          <t>m²</t>
        </is>
      </c>
      <c r="D17" s="18" t="n">
        <v>12</v>
      </c>
      <c r="E17" s="144" t="n">
        <v>900000</v>
      </c>
      <c r="F17" s="25">
        <f>+E17*D17</f>
        <v/>
      </c>
    </row>
    <row r="18" ht="14.55" customHeight="1" s="127">
      <c r="A18" s="145" t="inlineStr">
        <is>
          <t>SUBTOTAL</t>
        </is>
      </c>
      <c r="B18" s="129" t="n"/>
      <c r="C18" s="129" t="n"/>
      <c r="D18" s="129" t="n"/>
      <c r="E18" s="130" t="n"/>
      <c r="F18" s="26">
        <f>+SUM(F10:F17)</f>
        <v/>
      </c>
    </row>
    <row r="19" ht="23.25" customHeight="1" s="127">
      <c r="A19" s="67" t="inlineStr">
        <is>
          <t>1.2 MAQUINARIA Y EQUIPO</t>
        </is>
      </c>
      <c r="B19" s="129" t="n"/>
      <c r="C19" s="129" t="n"/>
      <c r="D19" s="129" t="n"/>
      <c r="E19" s="129" t="n"/>
      <c r="F19" s="129" t="n"/>
    </row>
    <row r="20" ht="14.55" customHeight="1" s="127">
      <c r="A20" s="146" t="inlineStr">
        <is>
          <t>Motosierra (alquiler para tala de árboles y corte de madera)</t>
        </is>
      </c>
      <c r="B20" s="130" t="n"/>
      <c r="C20" s="18" t="inlineStr">
        <is>
          <t>día</t>
        </is>
      </c>
      <c r="D20" s="18" t="n">
        <v>3</v>
      </c>
      <c r="E20" s="144" t="n">
        <v>700000</v>
      </c>
      <c r="F20" s="25">
        <f>+E20*D20</f>
        <v/>
      </c>
      <c r="I20" s="0" t="n"/>
    </row>
    <row r="21" ht="14.55" customHeight="1" s="127">
      <c r="A21" s="146" t="inlineStr">
        <is>
          <t>Retroexcavadora (preparación y nivelación de terreno)</t>
        </is>
      </c>
      <c r="B21" s="130" t="n"/>
      <c r="C21" s="18" t="inlineStr">
        <is>
          <t>día</t>
        </is>
      </c>
      <c r="D21" s="18" t="n">
        <v>3</v>
      </c>
      <c r="E21" s="144" t="n">
        <v>3000000</v>
      </c>
      <c r="F21" s="25">
        <f>+E21*D21</f>
        <v/>
      </c>
      <c r="I21" s="0" t="n"/>
    </row>
    <row r="22" ht="14.55" customHeight="1" s="127">
      <c r="A22" s="146" t="inlineStr">
        <is>
          <t>Minivolqueta para retiro de material sobrante</t>
        </is>
      </c>
      <c r="B22" s="130" t="n"/>
      <c r="C22" s="18" t="inlineStr">
        <is>
          <t>día</t>
        </is>
      </c>
      <c r="D22" s="18" t="n">
        <v>3</v>
      </c>
      <c r="E22" s="144" t="n">
        <v>1200000</v>
      </c>
      <c r="F22" s="25">
        <f>+E22*D22</f>
        <v/>
      </c>
      <c r="I22" s="0" t="n"/>
    </row>
    <row r="23" ht="14.55" customHeight="1" s="127">
      <c r="A23" s="146" t="inlineStr">
        <is>
          <t>Compresor de aire y herramientas neumáticas</t>
        </is>
      </c>
      <c r="B23" s="130" t="n"/>
      <c r="C23" s="18" t="inlineStr">
        <is>
          <t>día</t>
        </is>
      </c>
      <c r="D23" s="18" t="n">
        <v>4</v>
      </c>
      <c r="E23" s="144" t="n">
        <v>500000</v>
      </c>
      <c r="F23" s="25">
        <f>+E23*D23</f>
        <v/>
      </c>
      <c r="I23" s="0" t="n"/>
    </row>
    <row r="24" ht="14.55" customHeight="1" s="127">
      <c r="A24" s="146" t="inlineStr">
        <is>
          <t>Plataforma elevadora / andamio para montaje de paneles</t>
        </is>
      </c>
      <c r="B24" s="130" t="n"/>
      <c r="C24" s="18" t="inlineStr">
        <is>
          <t>día</t>
        </is>
      </c>
      <c r="D24" s="18" t="n">
        <v>5</v>
      </c>
      <c r="E24" s="144" t="n">
        <v>1000000</v>
      </c>
      <c r="F24" s="25">
        <f>+E24*D24</f>
        <v/>
      </c>
      <c r="I24" s="0" t="n"/>
    </row>
    <row r="25" ht="14.55" customHeight="1" s="127">
      <c r="A25" s="146" t="inlineStr">
        <is>
          <t>Equipo de soldadura para estructura metálica soporte</t>
        </is>
      </c>
      <c r="B25" s="130" t="n"/>
      <c r="C25" s="18" t="inlineStr">
        <is>
          <t>día</t>
        </is>
      </c>
      <c r="D25" s="18" t="n">
        <v>3</v>
      </c>
      <c r="E25" s="144" t="n">
        <v>900000</v>
      </c>
      <c r="F25" s="25">
        <f>+E25*D25</f>
        <v/>
      </c>
      <c r="I25" s="0" t="n"/>
    </row>
    <row r="26" ht="14.55" customHeight="1" s="127">
      <c r="A26" s="146" t="inlineStr">
        <is>
          <t>Taladros, amoladoras y herramienta menor (kit)</t>
        </is>
      </c>
      <c r="B26" s="130" t="n"/>
      <c r="C26" s="18" t="inlineStr">
        <is>
          <t>Global</t>
        </is>
      </c>
      <c r="D26" s="18" t="n">
        <v>1</v>
      </c>
      <c r="E26" s="144" t="n">
        <v>3600000</v>
      </c>
      <c r="F26" s="25">
        <f>+E26*D26</f>
        <v/>
      </c>
      <c r="I26" s="0" t="n"/>
    </row>
    <row r="27" ht="23.25" customHeight="1" s="127">
      <c r="A27" s="146" t="inlineStr">
        <is>
          <t>Medidor de irradiancia solar / pyranómetro (comisión)</t>
        </is>
      </c>
      <c r="B27" s="130" t="n"/>
      <c r="C27" s="18" t="inlineStr">
        <is>
          <t>Global</t>
        </is>
      </c>
      <c r="D27" s="18" t="n">
        <v>1</v>
      </c>
      <c r="E27" s="144" t="n">
        <v>1800000</v>
      </c>
      <c r="F27" s="25">
        <f>+E27*D27</f>
        <v/>
      </c>
      <c r="I27" s="0" t="n"/>
    </row>
    <row r="28" ht="14.55" customHeight="1" s="127">
      <c r="A28" s="146" t="inlineStr">
        <is>
          <t>Generador eléctrico a gasolina (etapa de obra)</t>
        </is>
      </c>
      <c r="B28" s="130" t="n"/>
      <c r="C28" s="18" t="inlineStr">
        <is>
          <t>día</t>
        </is>
      </c>
      <c r="D28" s="18" t="n">
        <v>8</v>
      </c>
      <c r="E28" s="144" t="n">
        <v>800000</v>
      </c>
      <c r="F28" s="25">
        <f>+E28*D28</f>
        <v/>
      </c>
      <c r="I28" s="0" t="n"/>
    </row>
    <row r="29" ht="14.55" customHeight="1" s="127">
      <c r="A29" s="147" t="inlineStr">
        <is>
          <t>Transporte y movilización de maquinaria al sitio</t>
        </is>
      </c>
      <c r="B29" s="130" t="n"/>
      <c r="C29" s="18" t="inlineStr">
        <is>
          <t>Global</t>
        </is>
      </c>
      <c r="D29" s="18" t="n">
        <v>1</v>
      </c>
      <c r="E29" s="144" t="n">
        <v>3800000</v>
      </c>
      <c r="F29" s="25">
        <f>+E29*D29</f>
        <v/>
      </c>
      <c r="I29" s="0" t="n"/>
    </row>
    <row r="30" ht="14.55" customHeight="1" s="127">
      <c r="A30" s="145" t="inlineStr">
        <is>
          <t>SUBTOTAL</t>
        </is>
      </c>
      <c r="B30" s="129" t="n"/>
      <c r="C30" s="129" t="n"/>
      <c r="D30" s="129" t="n"/>
      <c r="E30" s="130" t="n"/>
      <c r="F30" s="13">
        <f>+SUM(F20:F29)</f>
        <v/>
      </c>
      <c r="I30" s="0" t="n"/>
    </row>
    <row r="31" ht="23.25" customHeight="1" s="127">
      <c r="A31" s="67" t="inlineStr">
        <is>
          <t>1.3 ESTUDIOS CONSULTORIAS E INTERVENTORIAS</t>
        </is>
      </c>
      <c r="B31" s="129" t="n"/>
      <c r="C31" s="129" t="n"/>
      <c r="D31" s="129" t="n"/>
      <c r="E31" s="129" t="n"/>
      <c r="F31" s="129" t="n"/>
      <c r="I31" s="0" t="n"/>
    </row>
    <row r="32" ht="14.55" customHeight="1" s="127">
      <c r="A32" s="146" t="inlineStr">
        <is>
          <t>Estudio topográfico y levantamiento del predio</t>
        </is>
      </c>
      <c r="B32" s="130" t="n"/>
      <c r="C32" s="18" t="inlineStr">
        <is>
          <t>Global</t>
        </is>
      </c>
      <c r="D32" s="18" t="n">
        <v>1</v>
      </c>
      <c r="E32" s="144" t="n">
        <v>3000000</v>
      </c>
      <c r="F32" s="12">
        <f>+E32*D32</f>
        <v/>
      </c>
      <c r="I32" s="0" t="n"/>
    </row>
    <row r="33" ht="14.55" customHeight="1" s="127">
      <c r="A33" s="146" t="inlineStr">
        <is>
          <t>Diseño eléctrico del sistema fotovoltaico</t>
        </is>
      </c>
      <c r="B33" s="130" t="n"/>
      <c r="C33" s="18" t="inlineStr">
        <is>
          <t>Global</t>
        </is>
      </c>
      <c r="D33" s="18" t="n">
        <v>1</v>
      </c>
      <c r="E33" s="144" t="n">
        <v>4400000</v>
      </c>
      <c r="F33" s="12">
        <f>+E33*D33</f>
        <v/>
      </c>
      <c r="I33" s="0" t="n"/>
    </row>
    <row r="34" ht="28.5" customHeight="1" s="127">
      <c r="A34" s="148" t="inlineStr">
        <is>
          <t>Estudio de sombras e irradiancia solar (software PVSyst)</t>
        </is>
      </c>
      <c r="B34" s="130" t="n"/>
      <c r="C34" s="18" t="inlineStr">
        <is>
          <t>Global</t>
        </is>
      </c>
      <c r="D34" s="18" t="n">
        <v>1</v>
      </c>
      <c r="E34" s="144" t="n">
        <v>2040000</v>
      </c>
      <c r="F34" s="12">
        <f>+E34*D34</f>
        <v/>
      </c>
      <c r="I34" s="0" t="n"/>
    </row>
    <row r="35" ht="28.5" customHeight="1" s="127">
      <c r="A35" s="148" t="inlineStr">
        <is>
          <t>Interventoría y supervisión de obras civiles y montaje</t>
        </is>
      </c>
      <c r="B35" s="130" t="n"/>
      <c r="C35" s="18" t="inlineStr">
        <is>
          <t>Global</t>
        </is>
      </c>
      <c r="D35" s="18" t="n">
        <v>1</v>
      </c>
      <c r="E35" s="144" t="n">
        <v>10000000</v>
      </c>
      <c r="F35" s="12">
        <f>+E35*D35</f>
        <v/>
      </c>
      <c r="I35" s="0" t="n"/>
    </row>
    <row r="36" ht="14.55" customHeight="1" s="127">
      <c r="A36" s="147" t="inlineStr">
        <is>
          <t>Trámite de licencias y permisos ambientales</t>
        </is>
      </c>
      <c r="B36" s="130" t="n"/>
      <c r="C36" s="18" t="inlineStr">
        <is>
          <t>Global</t>
        </is>
      </c>
      <c r="D36" s="18" t="n">
        <v>1</v>
      </c>
      <c r="E36" s="144" t="n">
        <v>6000000</v>
      </c>
      <c r="F36" s="12">
        <f>+E36*D36</f>
        <v/>
      </c>
      <c r="I36" s="0" t="n"/>
    </row>
    <row r="37" ht="14.55" customHeight="1" s="127">
      <c r="A37" s="145" t="inlineStr">
        <is>
          <t>SUBTOTAL</t>
        </is>
      </c>
      <c r="B37" s="129" t="n"/>
      <c r="C37" s="129" t="n"/>
      <c r="D37" s="129" t="n"/>
      <c r="E37" s="130" t="n"/>
      <c r="F37" s="13">
        <f>+SUM(F32:F36)</f>
        <v/>
      </c>
      <c r="I37" s="0" t="n"/>
    </row>
    <row r="38" ht="23.25" customHeight="1" s="127">
      <c r="A38" s="67" t="inlineStr">
        <is>
          <t>1.4 OTROS BIENES E INVERSIONES</t>
        </is>
      </c>
      <c r="B38" s="129" t="n"/>
      <c r="C38" s="129" t="n"/>
      <c r="D38" s="129" t="n"/>
      <c r="E38" s="129" t="n"/>
      <c r="F38" s="129" t="n"/>
      <c r="I38" s="0" t="n"/>
    </row>
    <row r="39" ht="14.55" customHeight="1" s="127">
      <c r="A39" s="146" t="inlineStr">
        <is>
          <t>Valor del predio / servidumbre objeto del proyecto</t>
        </is>
      </c>
      <c r="B39" s="130" t="n"/>
      <c r="C39" s="18" t="inlineStr">
        <is>
          <t>Global</t>
        </is>
      </c>
      <c r="D39" s="18" t="n">
        <v>1</v>
      </c>
      <c r="E39" s="144" t="n"/>
      <c r="F39" s="12">
        <f>+E39*D39</f>
        <v/>
      </c>
      <c r="I39" s="0" t="n"/>
    </row>
    <row r="40" ht="29.4" customHeight="1" s="127">
      <c r="A40" s="147" t="inlineStr">
        <is>
          <t>Ejecución del plan de manejo ambiental (PMA)</t>
        </is>
      </c>
      <c r="B40" s="130" t="n"/>
      <c r="C40" s="18" t="inlineStr">
        <is>
          <t>Global</t>
        </is>
      </c>
      <c r="D40" s="18" t="n">
        <v>1</v>
      </c>
      <c r="E40" s="144" t="n">
        <v>8000000</v>
      </c>
      <c r="F40" s="12">
        <f>+E40*D40</f>
        <v/>
      </c>
      <c r="I40" s="0" t="n"/>
    </row>
    <row r="41" ht="14.55" customHeight="1" s="127">
      <c r="A41" s="146" t="inlineStr">
        <is>
          <t>Revegetalización y restauración de zonas afectadas</t>
        </is>
      </c>
      <c r="B41" s="130" t="n"/>
      <c r="C41" s="18" t="inlineStr">
        <is>
          <t>Global</t>
        </is>
      </c>
      <c r="D41" s="18" t="n">
        <v>1</v>
      </c>
      <c r="E41" s="144" t="n">
        <v>4000000</v>
      </c>
      <c r="F41" s="12">
        <f>+E41*D41</f>
        <v/>
      </c>
      <c r="I41" s="0" t="n"/>
    </row>
    <row r="42" ht="14.55" customHeight="1" s="127">
      <c r="A42" s="147" t="inlineStr">
        <is>
          <t>Compensación forestal (ver 2.6 Compensación ambiental)</t>
        </is>
      </c>
      <c r="B42" s="130" t="n"/>
      <c r="C42" s="18" t="inlineStr">
        <is>
          <t>Global</t>
        </is>
      </c>
      <c r="D42" s="18" t="n">
        <v>1</v>
      </c>
      <c r="E42" s="144" t="n"/>
      <c r="F42" s="12">
        <f>+E42*D42</f>
        <v/>
      </c>
      <c r="I42" s="0" t="n"/>
    </row>
    <row r="43" ht="14.55" customHeight="1" s="127">
      <c r="A43" s="102" t="inlineStr">
        <is>
          <t>Sistema de monitoreo ambiental (ruido, suelo, agua)</t>
        </is>
      </c>
      <c r="B43" s="129" t="n"/>
      <c r="C43" s="18" t="inlineStr">
        <is>
          <t>Global</t>
        </is>
      </c>
      <c r="D43" s="18" t="n">
        <v>1</v>
      </c>
      <c r="E43" s="144" t="n">
        <v>3000000</v>
      </c>
      <c r="F43" s="12">
        <f>+E43*D43</f>
        <v/>
      </c>
      <c r="I43" s="0" t="n"/>
    </row>
    <row r="44" ht="14.55" customHeight="1" s="127">
      <c r="A44" s="102" t="inlineStr">
        <is>
          <t>Kit de señalización y seguridad en obra</t>
        </is>
      </c>
      <c r="B44" s="129" t="n"/>
      <c r="C44" s="18" t="inlineStr">
        <is>
          <t>Global</t>
        </is>
      </c>
      <c r="D44" s="18" t="n">
        <v>1</v>
      </c>
      <c r="E44" s="144" t="n">
        <v>1000000</v>
      </c>
      <c r="F44" s="12">
        <f>+E44*D44</f>
        <v/>
      </c>
      <c r="I44" s="0" t="n"/>
    </row>
    <row r="45" ht="14.55" customHeight="1" s="127">
      <c r="A45" s="102" t="inlineStr">
        <is>
          <t>Adquisición de paneles fotovoltaicos (p.ej. 100 kWp)</t>
        </is>
      </c>
      <c r="B45" s="129" t="n"/>
      <c r="C45" s="18" t="inlineStr">
        <is>
          <t>Global</t>
        </is>
      </c>
      <c r="D45" s="18" t="n">
        <v>1</v>
      </c>
      <c r="E45" s="144" t="n">
        <v>30000000</v>
      </c>
      <c r="F45" s="12">
        <f>+E45*D45</f>
        <v/>
      </c>
      <c r="I45" s="0" t="n"/>
    </row>
    <row r="46" ht="14.55" customHeight="1" s="127">
      <c r="A46" s="102" t="inlineStr">
        <is>
          <t>Inversores, reguladores y sistema SCADA</t>
        </is>
      </c>
      <c r="B46" s="129" t="n"/>
      <c r="C46" s="18" t="inlineStr">
        <is>
          <t>Global</t>
        </is>
      </c>
      <c r="D46" s="18" t="n">
        <v>1</v>
      </c>
      <c r="E46" s="144" t="n">
        <v>9800000</v>
      </c>
      <c r="F46" s="12">
        <f>+E46*D46</f>
        <v/>
      </c>
      <c r="I46" s="0" t="n"/>
    </row>
    <row r="47" ht="14.55" customHeight="1" s="127">
      <c r="A47" s="147" t="inlineStr">
        <is>
          <t>Estructura metálica soporte de paneles (acero galvanizado)</t>
        </is>
      </c>
      <c r="B47" s="130" t="n"/>
      <c r="C47" s="18" t="inlineStr">
        <is>
          <t>Global</t>
        </is>
      </c>
      <c r="D47" s="18" t="n">
        <v>1</v>
      </c>
      <c r="E47" s="144" t="n">
        <v>2000000</v>
      </c>
      <c r="F47" s="12">
        <f>+E47*D47</f>
        <v/>
      </c>
      <c r="I47" s="0" t="n"/>
    </row>
    <row r="48" ht="14.55" customHeight="1" s="127">
      <c r="A48" s="145" t="inlineStr">
        <is>
          <t>SUBTOTAL</t>
        </is>
      </c>
      <c r="B48" s="129" t="n"/>
      <c r="C48" s="129" t="n"/>
      <c r="D48" s="129" t="n"/>
      <c r="E48" s="130" t="n"/>
      <c r="F48" s="14">
        <f>+SUM(F39:F47)</f>
        <v/>
      </c>
    </row>
    <row r="49" ht="23.25" customHeight="1" s="127">
      <c r="A49" s="3" t="inlineStr">
        <is>
          <t>TOTAL COSTOS DE INVERSION (1)</t>
        </is>
      </c>
      <c r="B49" s="129" t="n"/>
      <c r="C49" s="129" t="n"/>
      <c r="D49" s="130" t="n"/>
      <c r="E49" s="14">
        <f>+F48+F37+F30+F18</f>
        <v/>
      </c>
      <c r="F49" s="130" t="n"/>
    </row>
  </sheetData>
  <mergeCells count="51">
    <mergeCell ref="A30:E30"/>
    <mergeCell ref="B2:D4"/>
    <mergeCell ref="A24:B24"/>
    <mergeCell ref="A48:E48"/>
    <mergeCell ref="A15:B15"/>
    <mergeCell ref="B1:D1"/>
    <mergeCell ref="A11:B11"/>
    <mergeCell ref="A45:B45"/>
    <mergeCell ref="A36:B36"/>
    <mergeCell ref="A1:A4"/>
    <mergeCell ref="A16:B16"/>
    <mergeCell ref="A25:B25"/>
    <mergeCell ref="A41:B41"/>
    <mergeCell ref="E1:F1"/>
    <mergeCell ref="A5:F5"/>
    <mergeCell ref="A46:B46"/>
    <mergeCell ref="A37:E37"/>
    <mergeCell ref="A49:D49"/>
    <mergeCell ref="A27:B27"/>
    <mergeCell ref="A18:E18"/>
    <mergeCell ref="A12:B12"/>
    <mergeCell ref="A38:F38"/>
    <mergeCell ref="A26:B26"/>
    <mergeCell ref="A21:B21"/>
    <mergeCell ref="A7:F7"/>
    <mergeCell ref="A19:F19"/>
    <mergeCell ref="E2:F2"/>
    <mergeCell ref="A33:B33"/>
    <mergeCell ref="A9:F9"/>
    <mergeCell ref="A42:B42"/>
    <mergeCell ref="A31:F31"/>
    <mergeCell ref="A32:B32"/>
    <mergeCell ref="A47:B47"/>
    <mergeCell ref="A14:B14"/>
    <mergeCell ref="E49:F49"/>
    <mergeCell ref="A23:B23"/>
    <mergeCell ref="A17:B17"/>
    <mergeCell ref="A8:B8"/>
    <mergeCell ref="A22:B22"/>
    <mergeCell ref="A35:B35"/>
    <mergeCell ref="A20:B20"/>
    <mergeCell ref="A29:B29"/>
    <mergeCell ref="A43:B43"/>
    <mergeCell ref="A10:B10"/>
    <mergeCell ref="A28:B28"/>
    <mergeCell ref="A6:F6"/>
    <mergeCell ref="A13:B13"/>
    <mergeCell ref="A44:B44"/>
    <mergeCell ref="A40:B40"/>
    <mergeCell ref="A39:B39"/>
    <mergeCell ref="A34:B3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tabSelected="1" topLeftCell="A31" zoomScale="90" zoomScaleNormal="90" workbookViewId="0">
      <selection activeCell="E59" sqref="E59:F59"/>
    </sheetView>
  </sheetViews>
  <sheetFormatPr baseColWidth="10" defaultColWidth="8.88671875" defaultRowHeight="13.2"/>
  <cols>
    <col width="25.109375" customWidth="1" style="127" min="1" max="1"/>
    <col width="29.109375" customWidth="1" style="127" min="2" max="2"/>
    <col width="23.5546875" customWidth="1" style="127" min="3" max="3"/>
    <col width="24.6640625" customWidth="1" style="127" min="4" max="4"/>
    <col width="28.21875" customWidth="1" style="127" min="5" max="5"/>
    <col width="28" customWidth="1" style="127" min="6" max="6"/>
    <col width="16.21875" bestFit="1" customWidth="1" style="127" min="8" max="8"/>
  </cols>
  <sheetData>
    <row r="1" ht="34.05" customHeight="1" s="127">
      <c r="A1" s="149" t="n"/>
      <c r="B1" s="150" t="inlineStr">
        <is>
          <t>CORPORACIÓN AUTÓNOMA REGIONAL DE BOYACÁ</t>
        </is>
      </c>
      <c r="C1" s="129" t="n"/>
      <c r="D1" s="130" t="n"/>
      <c r="E1" s="151" t="inlineStr">
        <is>
          <t>AUTORIDAD AMBIENTAL</t>
        </is>
      </c>
      <c r="F1" s="130" t="n"/>
    </row>
    <row r="2" ht="18" customHeight="1" s="127">
      <c r="A2" s="132" t="n"/>
      <c r="B2" s="1" t="inlineStr">
        <is>
          <t>SISTEMA INTEGRADO GESTION DE LA CALIDAD</t>
        </is>
      </c>
      <c r="C2" s="133" t="n"/>
      <c r="D2" s="134" t="n"/>
      <c r="E2" s="152" t="inlineStr">
        <is>
          <t>FORMATO DE REGISTRO</t>
        </is>
      </c>
      <c r="F2" s="130" t="n"/>
    </row>
    <row r="3" ht="15" customHeight="1" s="127">
      <c r="A3" s="132" t="n"/>
      <c r="B3" s="135" t="n"/>
      <c r="D3" s="136" t="n"/>
      <c r="E3" s="1" t="inlineStr">
        <is>
          <t>FGR-29</t>
        </is>
      </c>
      <c r="F3" s="2" t="inlineStr">
        <is>
          <t>Página 2 de 2</t>
        </is>
      </c>
    </row>
    <row r="4" ht="15" customHeight="1" s="127">
      <c r="A4" s="137" t="n"/>
      <c r="B4" s="138" t="n"/>
      <c r="C4" s="139" t="n"/>
      <c r="D4" s="140" t="n"/>
      <c r="E4" s="1" t="inlineStr">
        <is>
          <t>Versión 3</t>
        </is>
      </c>
      <c r="F4" s="9" t="n">
        <v>42215</v>
      </c>
    </row>
    <row r="5" ht="20.7" customHeight="1" s="127">
      <c r="A5" s="153" t="inlineStr">
        <is>
          <t>AUTODECLARACIÓN COSTOS DE INVERSIÓN Y ANUAL DE OPERACIÓN</t>
        </is>
      </c>
      <c r="B5" s="129" t="n"/>
      <c r="C5" s="129" t="n"/>
      <c r="D5" s="129" t="n"/>
      <c r="E5" s="129" t="n"/>
      <c r="F5" s="130" t="n"/>
    </row>
    <row r="6" ht="18" customHeight="1" s="127">
      <c r="A6" s="154" t="inlineStr">
        <is>
          <t xml:space="preserve">PARTE B - COSTO ANUAL DE OPERACIÓN                         AÑO:                2026      </t>
        </is>
      </c>
      <c r="B6" s="129" t="n"/>
      <c r="C6" s="129" t="n"/>
      <c r="D6" s="129" t="n"/>
      <c r="E6" s="129" t="n"/>
      <c r="F6" s="130" t="n"/>
    </row>
    <row r="7" ht="28.5" customHeight="1" s="127">
      <c r="A7" s="3" t="inlineStr">
        <is>
          <t>DESCRIPCION</t>
        </is>
      </c>
      <c r="B7" s="130" t="n"/>
      <c r="C7" s="3" t="inlineStr">
        <is>
          <t>UNIDAD DE MEDIDA</t>
        </is>
      </c>
      <c r="D7" s="5" t="inlineStr">
        <is>
          <t>CANTIDAD</t>
        </is>
      </c>
      <c r="E7" s="4" t="inlineStr">
        <is>
          <t>VALOR UNITARIO
($)</t>
        </is>
      </c>
      <c r="F7" s="4" t="inlineStr">
        <is>
          <t>VALOR TOTAL
($)</t>
        </is>
      </c>
    </row>
    <row r="8" ht="14.55" customHeight="1" s="127">
      <c r="A8" s="67" t="inlineStr">
        <is>
          <t>2.1 MATERIAS PRIMAS E INSUMOS</t>
        </is>
      </c>
      <c r="B8" s="129" t="n"/>
      <c r="C8" s="129" t="n"/>
      <c r="D8" s="129" t="n"/>
      <c r="E8" s="129" t="n"/>
      <c r="F8" s="129" t="n"/>
    </row>
    <row r="9" ht="14.55" customHeight="1" s="127">
      <c r="A9" s="146" t="inlineStr">
        <is>
          <t>Paneles fotovoltaicos (módulos solares, reposición y stock)</t>
        </is>
      </c>
      <c r="B9" s="130" t="n"/>
      <c r="C9" s="17" t="inlineStr">
        <is>
          <t>Global</t>
        </is>
      </c>
      <c r="D9" s="18" t="n">
        <v>1</v>
      </c>
      <c r="E9" s="144" t="n">
        <v>160000000</v>
      </c>
      <c r="F9" s="144">
        <f>+D9*E9</f>
        <v/>
      </c>
    </row>
    <row r="10" ht="14.55" customHeight="1" s="127">
      <c r="A10" s="146" t="inlineStr">
        <is>
          <t>Inversores y reguladores de carga (operación y reposición)</t>
        </is>
      </c>
      <c r="B10" s="130" t="n"/>
      <c r="C10" s="17" t="inlineStr">
        <is>
          <t>Global</t>
        </is>
      </c>
      <c r="D10" s="18" t="n">
        <v>1</v>
      </c>
      <c r="E10" s="144" t="n">
        <v>80000000</v>
      </c>
      <c r="F10" s="144">
        <f>+D10*E10</f>
        <v/>
      </c>
    </row>
    <row r="11" ht="14.55" customHeight="1" s="127">
      <c r="A11" s="147" t="inlineStr">
        <is>
          <t>Sistema de almacenamiento de energía (baterías)</t>
        </is>
      </c>
      <c r="B11" s="130" t="n"/>
      <c r="C11" s="17" t="inlineStr">
        <is>
          <t>Global</t>
        </is>
      </c>
      <c r="D11" s="18" t="n">
        <v>1</v>
      </c>
      <c r="E11" s="144" t="n">
        <v>100000000</v>
      </c>
      <c r="F11" s="144">
        <f>+D11*E11</f>
        <v/>
      </c>
    </row>
    <row r="12" ht="14.55" customHeight="1" s="127">
      <c r="A12" s="147" t="inlineStr">
        <is>
          <t>Cableado, protecciones eléctricas y tableros de distribución</t>
        </is>
      </c>
      <c r="B12" s="130" t="n"/>
      <c r="C12" s="17" t="inlineStr">
        <is>
          <t>Global</t>
        </is>
      </c>
      <c r="D12" s="18" t="n">
        <v>1</v>
      </c>
      <c r="E12" s="144" t="n">
        <v>50000000</v>
      </c>
      <c r="F12" s="144">
        <f>+D12*E12</f>
        <v/>
      </c>
    </row>
    <row r="13" ht="14.55" customHeight="1" s="127">
      <c r="A13" s="147" t="inlineStr">
        <is>
          <t>Estructura metálica soporte (repuestos y refuerzos)</t>
        </is>
      </c>
      <c r="B13" s="130" t="n"/>
      <c r="C13" s="17" t="inlineStr">
        <is>
          <t>Global</t>
        </is>
      </c>
      <c r="D13" s="18" t="n">
        <v>1</v>
      </c>
      <c r="E13" s="144" t="n">
        <v>30000000</v>
      </c>
      <c r="F13" s="144">
        <f>+D13*E13</f>
        <v/>
      </c>
    </row>
    <row r="14" ht="14.55" customHeight="1" s="127">
      <c r="A14" s="147" t="inlineStr">
        <is>
          <t>Medidores de energía y equipos de telemetría / SCADA</t>
        </is>
      </c>
      <c r="B14" s="130" t="n"/>
      <c r="C14" s="17" t="inlineStr">
        <is>
          <t>Global</t>
        </is>
      </c>
      <c r="D14" s="18" t="n">
        <v>1</v>
      </c>
      <c r="E14" s="144" t="n">
        <v>40000000</v>
      </c>
      <c r="F14" s="144">
        <f>+D14*E14</f>
        <v/>
      </c>
    </row>
    <row r="15" ht="14.25" customHeight="1" s="127">
      <c r="A15" s="147" t="inlineStr">
        <is>
          <t>Insumos de limpieza de paneles (agua desmineralizada, detergentes)</t>
        </is>
      </c>
      <c r="B15" s="130" t="n"/>
      <c r="C15" s="17" t="inlineStr">
        <is>
          <t>Global</t>
        </is>
      </c>
      <c r="D15" s="18" t="n">
        <v>12</v>
      </c>
      <c r="E15" s="144" t="n">
        <v>1000000</v>
      </c>
      <c r="F15" s="144">
        <f>+D15*E15</f>
        <v/>
      </c>
    </row>
    <row r="16" ht="14.55" customHeight="1" s="127">
      <c r="A16" s="147" t="inlineStr">
        <is>
          <t>Lubricantes, tornillería y consumibles de mantenimiento</t>
        </is>
      </c>
      <c r="B16" s="130" t="n"/>
      <c r="C16" s="17" t="inlineStr">
        <is>
          <t>Global</t>
        </is>
      </c>
      <c r="D16" s="18" t="n">
        <v>1</v>
      </c>
      <c r="E16" s="144" t="n">
        <v>8000000</v>
      </c>
      <c r="F16" s="144">
        <f>+D16*E16</f>
        <v/>
      </c>
    </row>
    <row r="17" ht="14.55" customHeight="1" s="127">
      <c r="A17" s="147" t="inlineStr">
        <is>
          <t>Materiales para obras de drenaje y control de erosión</t>
        </is>
      </c>
      <c r="B17" s="130" t="n"/>
      <c r="C17" s="17" t="inlineStr">
        <is>
          <t>Global</t>
        </is>
      </c>
      <c r="D17" s="18" t="n">
        <v>1</v>
      </c>
      <c r="E17" s="144" t="n">
        <v>10000000</v>
      </c>
      <c r="F17" s="144">
        <f>+D17*E17</f>
        <v/>
      </c>
    </row>
    <row r="18" ht="14.55" customHeight="1" s="127">
      <c r="A18" s="147" t="inlineStr">
        <is>
          <t>Insumos para revegetalización y mantenimiento de cobertura</t>
        </is>
      </c>
      <c r="B18" s="130" t="n"/>
      <c r="C18" s="17" t="inlineStr">
        <is>
          <t>Global</t>
        </is>
      </c>
      <c r="D18" s="18" t="n">
        <v>1</v>
      </c>
      <c r="E18" s="144" t="n">
        <v>10000000</v>
      </c>
      <c r="F18" s="144">
        <f>+D18*E18</f>
        <v/>
      </c>
    </row>
    <row r="19" ht="14.55" customHeight="1" s="127">
      <c r="A19" s="147" t="inlineStr">
        <is>
          <t>Otros materiales y gastos operativos del proyecto</t>
        </is>
      </c>
      <c r="B19" s="130" t="n"/>
      <c r="C19" s="17" t="inlineStr">
        <is>
          <t>Global</t>
        </is>
      </c>
      <c r="D19" s="18" t="n">
        <v>1</v>
      </c>
      <c r="E19" s="144" t="n">
        <v>100000000</v>
      </c>
      <c r="F19" s="144">
        <f>+D19*E19</f>
        <v/>
      </c>
    </row>
    <row r="20" ht="14.55" customHeight="1" s="127">
      <c r="A20" s="145" t="inlineStr">
        <is>
          <t>SUBTOTAL</t>
        </is>
      </c>
      <c r="B20" s="129" t="n"/>
      <c r="C20" s="129" t="n"/>
      <c r="D20" s="129" t="n"/>
      <c r="E20" s="130" t="n"/>
      <c r="F20" s="20">
        <f>+SUM(F9:F19)</f>
        <v/>
      </c>
    </row>
    <row r="21" ht="14.55" customHeight="1" s="127">
      <c r="A21" s="67" t="inlineStr">
        <is>
          <t>2.2 MANO DE OBRA</t>
        </is>
      </c>
      <c r="B21" s="129" t="n"/>
      <c r="C21" s="129" t="n"/>
      <c r="D21" s="129" t="n"/>
      <c r="E21" s="129" t="n"/>
      <c r="F21" s="129" t="n"/>
    </row>
    <row r="22" ht="14.55" customHeight="1" s="127">
      <c r="A22" s="155" t="inlineStr">
        <is>
          <t>Operario de planta (operación y vigilancia diaria del sistema)</t>
        </is>
      </c>
      <c r="B22" s="130" t="n"/>
      <c r="C22" s="17" t="inlineStr">
        <is>
          <t>mes</t>
        </is>
      </c>
      <c r="D22" s="18" t="n">
        <v>1</v>
      </c>
      <c r="E22" s="144" t="n">
        <v>5000000</v>
      </c>
      <c r="F22" s="144">
        <f>+D22*E22</f>
        <v/>
      </c>
    </row>
    <row r="23" ht="14.55" customHeight="1" s="127">
      <c r="A23" s="155" t="inlineStr">
        <is>
          <t>Técnico electricista (mantenimiento preventivo mensual)</t>
        </is>
      </c>
      <c r="B23" s="130" t="n"/>
      <c r="C23" s="17" t="inlineStr">
        <is>
          <t>visita</t>
        </is>
      </c>
      <c r="D23" s="18" t="n">
        <v>12</v>
      </c>
      <c r="E23" s="144" t="n">
        <v>400000</v>
      </c>
      <c r="F23" s="144">
        <f>+D23*E23</f>
        <v/>
      </c>
    </row>
    <row r="24" ht="14.55" customHeight="1" s="127">
      <c r="A24" s="72" t="inlineStr">
        <is>
          <t>Ingeniero supervisor (visita de seguimiento semestral)</t>
        </is>
      </c>
      <c r="B24" s="130" t="n"/>
      <c r="C24" s="17" t="inlineStr">
        <is>
          <t>visita</t>
        </is>
      </c>
      <c r="D24" s="27" t="n">
        <v>2</v>
      </c>
      <c r="E24" s="144" t="n">
        <v>1000000</v>
      </c>
      <c r="F24" s="144">
        <f>+D24*E24</f>
        <v/>
      </c>
    </row>
    <row r="25" ht="14.55" customHeight="1" s="127">
      <c r="A25" s="143" t="inlineStr">
        <is>
          <t>Administrador de proyecto (honorarios proporcionales anuales)</t>
        </is>
      </c>
      <c r="B25" s="130" t="n"/>
      <c r="C25" s="28" t="inlineStr">
        <is>
          <t>Global</t>
        </is>
      </c>
      <c r="D25" s="18" t="n">
        <v>1</v>
      </c>
      <c r="E25" s="144" t="n">
        <v>6770000</v>
      </c>
      <c r="F25" s="144">
        <f>+D25*E25</f>
        <v/>
      </c>
    </row>
    <row r="26" ht="14.55" customHeight="1" s="127">
      <c r="A26" s="145" t="inlineStr">
        <is>
          <t>SUBTOTAL</t>
        </is>
      </c>
      <c r="B26" s="129" t="n"/>
      <c r="C26" s="129" t="n"/>
      <c r="D26" s="129" t="n"/>
      <c r="E26" s="130" t="n"/>
      <c r="F26" s="20">
        <f>+SUM(F22:F25)</f>
        <v/>
      </c>
    </row>
    <row r="27" ht="14.55" customHeight="1" s="127">
      <c r="A27" s="67" t="inlineStr">
        <is>
          <t>2.3 ARRENDAMIENTOS, ALQUILERES, SERVICIOS PÚBLICOS, SEGUROS Y OTROS GASTOS GENERADOS.</t>
        </is>
      </c>
      <c r="B27" s="129" t="n"/>
      <c r="C27" s="129" t="n"/>
      <c r="D27" s="129" t="n"/>
      <c r="E27" s="129" t="n"/>
      <c r="F27" s="129" t="n"/>
    </row>
    <row r="28" ht="14.55" customHeight="1" s="127">
      <c r="A28" s="68" t="inlineStr">
        <is>
          <t>Arrendamiento del predio (canon anual)</t>
        </is>
      </c>
      <c r="B28" s="129" t="n"/>
      <c r="C28" s="28" t="inlineStr">
        <is>
          <t>año</t>
        </is>
      </c>
      <c r="D28" s="29" t="n">
        <v>1</v>
      </c>
      <c r="E28" s="156" t="n"/>
      <c r="F28" s="144">
        <f>+D28*E28</f>
        <v/>
      </c>
    </row>
    <row r="29" ht="14.55" customHeight="1" s="127">
      <c r="A29" s="68" t="inlineStr">
        <is>
          <t>Servicio de internet / comunicaciones para telemetría</t>
        </is>
      </c>
      <c r="B29" s="129" t="n"/>
      <c r="C29" s="28" t="inlineStr">
        <is>
          <t>mes</t>
        </is>
      </c>
      <c r="D29" s="29" t="n">
        <v>12</v>
      </c>
      <c r="E29" s="144" t="n">
        <v>300000</v>
      </c>
      <c r="F29" s="144">
        <f>+D29*E29</f>
        <v/>
      </c>
    </row>
    <row r="30" ht="14.55" customHeight="1" s="127">
      <c r="A30" s="68" t="inlineStr">
        <is>
          <t>Seguro todo riesgo de la planta solar (póliza anual)</t>
        </is>
      </c>
      <c r="B30" s="129" t="n"/>
      <c r="C30" s="28" t="inlineStr">
        <is>
          <t>año</t>
        </is>
      </c>
      <c r="D30" s="29" t="n">
        <v>1</v>
      </c>
      <c r="E30" s="144" t="n">
        <v>5000000</v>
      </c>
      <c r="F30" s="144">
        <f>+D30*E30</f>
        <v/>
      </c>
    </row>
    <row r="31" ht="14.55" customHeight="1" s="127">
      <c r="A31" s="155" t="inlineStr">
        <is>
          <t>Servicio de agua para limpieza de paneles</t>
        </is>
      </c>
      <c r="B31" s="130" t="n"/>
      <c r="C31" s="28" t="inlineStr">
        <is>
          <t>mes</t>
        </is>
      </c>
      <c r="D31" s="31" t="n">
        <v>12</v>
      </c>
      <c r="E31" s="144" t="n">
        <v>100000</v>
      </c>
      <c r="F31" s="144">
        <f>+D31*E31</f>
        <v/>
      </c>
    </row>
    <row r="32" ht="14.55" customHeight="1" s="127">
      <c r="A32" s="155" t="inlineStr">
        <is>
          <t>Gastos de transporte y movilización del personal técnico</t>
        </is>
      </c>
      <c r="B32" s="130" t="n"/>
      <c r="C32" s="17" t="inlineStr">
        <is>
          <t>Global</t>
        </is>
      </c>
      <c r="D32" s="18" t="n">
        <v>1</v>
      </c>
      <c r="E32" s="144" t="n">
        <v>2200000</v>
      </c>
      <c r="F32" s="144">
        <f>+D32*E32</f>
        <v/>
      </c>
    </row>
    <row r="33" ht="14.55" customHeight="1" s="127">
      <c r="A33" s="155" t="inlineStr">
        <is>
          <t>Papelería, comunicaciones y gastos administrativos generales</t>
        </is>
      </c>
      <c r="B33" s="130" t="n"/>
      <c r="C33" s="17" t="inlineStr">
        <is>
          <t>Global</t>
        </is>
      </c>
      <c r="D33" s="18" t="n">
        <v>1</v>
      </c>
      <c r="E33" s="144" t="n">
        <v>1200000</v>
      </c>
      <c r="F33" s="144">
        <f>+D33*E33</f>
        <v/>
      </c>
    </row>
    <row r="34" ht="14.55" customHeight="1" s="127">
      <c r="A34" s="145" t="inlineStr">
        <is>
          <t>SUBTOTAL</t>
        </is>
      </c>
      <c r="B34" s="129" t="n"/>
      <c r="C34" s="129" t="n"/>
      <c r="D34" s="129" t="n"/>
      <c r="E34" s="130" t="n"/>
      <c r="F34" s="20">
        <f>+SUM(F28:F33)</f>
        <v/>
      </c>
    </row>
    <row r="35" ht="14.55" customHeight="1" s="127">
      <c r="A35" s="67" t="inlineStr">
        <is>
          <t>2.4 MANTENIMIENTO, REPARACIÓN Y/O REPOSICIÓN DE EQUIPOS, ISTRUMENTOS Y/O ELEMENTOS REQUERIDOS.</t>
        </is>
      </c>
      <c r="B35" s="129" t="n"/>
      <c r="C35" s="129" t="n"/>
      <c r="D35" s="129" t="n"/>
      <c r="E35" s="129" t="n"/>
      <c r="F35" s="129" t="n"/>
    </row>
    <row r="36" ht="14.55" customHeight="1" s="127">
      <c r="A36" s="143" t="inlineStr">
        <is>
          <t>Mantenimiento preventivo de inversores y reguladores</t>
        </is>
      </c>
      <c r="B36" s="130" t="n"/>
      <c r="C36" s="18" t="inlineStr">
        <is>
          <t>año</t>
        </is>
      </c>
      <c r="D36" s="18" t="n">
        <v>1</v>
      </c>
      <c r="E36" s="144" t="n">
        <v>1200000</v>
      </c>
      <c r="F36" s="144">
        <f>+D36*E36</f>
        <v/>
      </c>
    </row>
    <row r="37" ht="14.55" customHeight="1" s="127">
      <c r="A37" s="143" t="inlineStr">
        <is>
          <t>Revisión y ajuste de estructura soporte de paneles</t>
        </is>
      </c>
      <c r="B37" s="130" t="n"/>
      <c r="C37" s="18" t="inlineStr">
        <is>
          <t>año</t>
        </is>
      </c>
      <c r="D37" s="18" t="n">
        <v>1</v>
      </c>
      <c r="E37" s="144" t="n">
        <v>800000</v>
      </c>
      <c r="F37" s="144">
        <f>+D37*E37</f>
        <v/>
      </c>
    </row>
    <row r="38" ht="14.55" customHeight="1" s="127">
      <c r="A38" s="143" t="inlineStr">
        <is>
          <t>Reposición de fusibles, breakers y elementos de protección</t>
        </is>
      </c>
      <c r="B38" s="130" t="n"/>
      <c r="C38" s="18" t="inlineStr">
        <is>
          <t>Global</t>
        </is>
      </c>
      <c r="D38" s="18" t="n">
        <v>1</v>
      </c>
      <c r="E38" s="144" t="n">
        <v>600000</v>
      </c>
      <c r="F38" s="144">
        <f>+D38*E38</f>
        <v/>
      </c>
    </row>
    <row r="39" ht="14.55" customHeight="1" s="127">
      <c r="A39" s="143" t="inlineStr">
        <is>
          <t>Calibración de equipos de medición y sensores</t>
        </is>
      </c>
      <c r="B39" s="130" t="n"/>
      <c r="C39" s="18" t="inlineStr">
        <is>
          <t>año</t>
        </is>
      </c>
      <c r="D39" s="18" t="n">
        <v>1</v>
      </c>
      <c r="E39" s="144" t="n">
        <v>1000000</v>
      </c>
      <c r="F39" s="144">
        <f>+D39*E39</f>
        <v/>
      </c>
    </row>
    <row r="40" ht="14.55" customHeight="1" s="127">
      <c r="A40" s="6" t="n"/>
      <c r="B40" s="130" t="n"/>
      <c r="C40" s="6" t="n"/>
      <c r="D40" s="6" t="n"/>
      <c r="E40" s="6" t="n"/>
      <c r="F40" s="7" t="n">
        <v>0</v>
      </c>
    </row>
    <row r="41" ht="14.55" customHeight="1" s="127">
      <c r="A41" s="145" t="inlineStr">
        <is>
          <t>SUBTOTAL</t>
        </is>
      </c>
      <c r="B41" s="129" t="n"/>
      <c r="C41" s="129" t="n"/>
      <c r="D41" s="129" t="n"/>
      <c r="E41" s="130" t="n"/>
      <c r="F41" s="20">
        <f>+SUM(F36:F40)</f>
        <v/>
      </c>
    </row>
    <row r="42" ht="14.55" customHeight="1" s="127">
      <c r="A42" s="67" t="inlineStr">
        <is>
          <t>2.5 DESMANTELAMIENTO</t>
        </is>
      </c>
      <c r="B42" s="129" t="n"/>
      <c r="C42" s="129" t="n"/>
      <c r="D42" s="129" t="n"/>
      <c r="E42" s="129" t="n"/>
      <c r="F42" s="129" t="n"/>
    </row>
    <row r="43" ht="14.55" customHeight="1" s="127">
      <c r="A43" s="143" t="inlineStr">
        <is>
          <t>Desmontaje de paneles fotovoltaicos y estructura soporte</t>
        </is>
      </c>
      <c r="B43" s="130" t="n"/>
      <c r="C43" s="18" t="inlineStr">
        <is>
          <t>Global</t>
        </is>
      </c>
      <c r="D43" s="18" t="n">
        <v>1</v>
      </c>
      <c r="E43" s="144" t="n">
        <v>12000000</v>
      </c>
      <c r="F43" s="144">
        <f>+D43*E43</f>
        <v/>
      </c>
    </row>
    <row r="44" ht="14.55" customHeight="1" s="127">
      <c r="A44" s="143" t="inlineStr">
        <is>
          <t>Retiro y disposición de inversores, baterías y tableros</t>
        </is>
      </c>
      <c r="B44" s="130" t="n"/>
      <c r="C44" s="18" t="inlineStr">
        <is>
          <t>Global</t>
        </is>
      </c>
      <c r="D44" s="18" t="n">
        <v>1</v>
      </c>
      <c r="E44" s="144" t="n">
        <v>8000000</v>
      </c>
      <c r="F44" s="144">
        <f>+D44*E44</f>
        <v/>
      </c>
    </row>
    <row r="45" ht="14.55" customHeight="1" s="127">
      <c r="A45" s="143" t="inlineStr">
        <is>
          <t>Gestión y disposición final de residuos especiales (paneles)</t>
        </is>
      </c>
      <c r="B45" s="130" t="n"/>
      <c r="C45" s="18" t="inlineStr">
        <is>
          <t>Global</t>
        </is>
      </c>
      <c r="D45" s="18" t="n">
        <v>1</v>
      </c>
      <c r="E45" s="144" t="n">
        <v>10000000</v>
      </c>
      <c r="F45" s="144">
        <f>+D45*E45</f>
        <v/>
      </c>
    </row>
    <row r="46" ht="14.55" customHeight="1" s="127">
      <c r="A46" s="143" t="inlineStr">
        <is>
          <t>Retiro de cableado eléctrico y elementos de protección</t>
        </is>
      </c>
      <c r="B46" s="130" t="n"/>
      <c r="C46" s="18" t="inlineStr">
        <is>
          <t>Global</t>
        </is>
      </c>
      <c r="D46" s="18" t="n">
        <v>1</v>
      </c>
      <c r="E46" s="144" t="n">
        <v>4000000</v>
      </c>
      <c r="F46" s="144">
        <f>+D46*E46</f>
        <v/>
      </c>
    </row>
    <row r="47" ht="14.55" customHeight="1" s="127">
      <c r="A47" s="143" t="inlineStr">
        <is>
          <t>Restauración morfológica del terreno (relleno y nivelación)</t>
        </is>
      </c>
      <c r="B47" s="130" t="n"/>
      <c r="C47" s="18" t="inlineStr">
        <is>
          <t>Global</t>
        </is>
      </c>
      <c r="D47" s="18" t="n">
        <v>1</v>
      </c>
      <c r="E47" s="144" t="n">
        <v>8000000</v>
      </c>
      <c r="F47" s="144">
        <f>+D47*E47</f>
        <v/>
      </c>
    </row>
    <row r="48" ht="14.55" customHeight="1" s="127">
      <c r="A48" s="143" t="inlineStr">
        <is>
          <t>Revegetalización final y entrega del área al propietario</t>
        </is>
      </c>
      <c r="B48" s="130" t="n"/>
      <c r="C48" s="18" t="inlineStr">
        <is>
          <t>Global</t>
        </is>
      </c>
      <c r="D48" s="18" t="n">
        <v>1</v>
      </c>
      <c r="E48" s="144" t="n">
        <v>6000000</v>
      </c>
      <c r="F48" s="144">
        <f>+D48*E48</f>
        <v/>
      </c>
    </row>
    <row r="49" ht="14.55" customHeight="1" s="127">
      <c r="A49" s="145" t="inlineStr">
        <is>
          <t>SUBTOTAL</t>
        </is>
      </c>
      <c r="B49" s="129" t="n"/>
      <c r="C49" s="129" t="n"/>
      <c r="D49" s="129" t="n"/>
      <c r="E49" s="130" t="n"/>
      <c r="F49" s="20">
        <f>+SUM(F43:F48)</f>
        <v/>
      </c>
    </row>
    <row r="50" ht="14.55" customHeight="1" s="127">
      <c r="A50" s="66" t="inlineStr">
        <is>
          <t>2.6 COMPENSACIÓN AMBIENTAL (Si aplica). Material Vegetal, Siembra, Resiembra, Insumos, Mantenimiento.</t>
        </is>
      </c>
      <c r="B50" s="129" t="n"/>
      <c r="C50" s="129" t="n"/>
      <c r="D50" s="129" t="n"/>
      <c r="E50" s="129" t="n"/>
      <c r="F50" s="129" t="n"/>
    </row>
    <row r="51" ht="14.55" customHeight="1" s="127">
      <c r="A51" s="157" t="inlineStr">
        <is>
          <t>Mano de obra siembra inicialy preparación del terreno</t>
        </is>
      </c>
      <c r="B51" s="130" t="n"/>
      <c r="C51" s="8" t="inlineStr">
        <is>
          <t>Global</t>
        </is>
      </c>
      <c r="D51" s="10" t="n">
        <v>1</v>
      </c>
      <c r="E51" s="144" t="n"/>
      <c r="F51" s="15">
        <f>+D51*E51</f>
        <v/>
      </c>
    </row>
    <row r="52" ht="14.25" customHeight="1" s="127">
      <c r="A52" s="157" t="inlineStr">
        <is>
          <t>Insumos</t>
        </is>
      </c>
      <c r="B52" s="130" t="n"/>
      <c r="C52" s="8" t="inlineStr">
        <is>
          <t>Global</t>
        </is>
      </c>
      <c r="D52" s="10" t="n">
        <v>1</v>
      </c>
      <c r="E52" s="144" t="n"/>
      <c r="F52" s="15">
        <f>+D52*E52</f>
        <v/>
      </c>
    </row>
    <row r="53">
      <c r="A53" s="157" t="inlineStr">
        <is>
          <t>Herramientas</t>
        </is>
      </c>
      <c r="B53" s="130" t="n"/>
      <c r="C53" s="8" t="inlineStr">
        <is>
          <t>Global</t>
        </is>
      </c>
      <c r="D53" s="11" t="n">
        <v>1</v>
      </c>
      <c r="E53" s="144" t="n"/>
      <c r="F53" s="15">
        <f>+D53*E53</f>
        <v/>
      </c>
    </row>
    <row r="54" ht="13.2" customHeight="1" s="127">
      <c r="A54" s="157" t="inlineStr">
        <is>
          <t>Reposición. mantenimiento y monitoreo (3 años)</t>
        </is>
      </c>
      <c r="B54" s="130" t="n"/>
      <c r="C54" s="8" t="inlineStr">
        <is>
          <t>Global</t>
        </is>
      </c>
      <c r="D54" s="11" t="n">
        <v>1</v>
      </c>
      <c r="E54" s="144" t="n"/>
      <c r="F54" s="15">
        <f>+D54*E54</f>
        <v/>
      </c>
    </row>
    <row r="55" ht="14.55" customHeight="1" s="127">
      <c r="A55" s="157" t="inlineStr">
        <is>
          <t xml:space="preserve">	Imprevistos (5%)</t>
        </is>
      </c>
      <c r="B55" s="130" t="n"/>
      <c r="C55" s="8" t="inlineStr">
        <is>
          <t>Global</t>
        </is>
      </c>
      <c r="D55" s="10" t="n">
        <v>1</v>
      </c>
      <c r="E55" s="144" t="n"/>
      <c r="F55" s="15">
        <f>+D55*E55</f>
        <v/>
      </c>
    </row>
    <row r="56" ht="14.55" customHeight="1" s="127">
      <c r="A56" s="145" t="inlineStr">
        <is>
          <t>SUBTOTAL</t>
        </is>
      </c>
      <c r="B56" s="129" t="n"/>
      <c r="C56" s="129" t="n"/>
      <c r="D56" s="129" t="n"/>
      <c r="E56" s="130" t="n"/>
      <c r="F56" s="158">
        <f>+SUM(F51:F55)</f>
        <v/>
      </c>
      <c r="H56" s="159" t="n"/>
    </row>
    <row r="57" ht="18.75" customHeight="1" s="127">
      <c r="A57" s="3" t="inlineStr">
        <is>
          <t>TOTAL COSTOS OPERACIÓN</t>
        </is>
      </c>
      <c r="B57" s="129" t="n"/>
      <c r="C57" s="129" t="n"/>
      <c r="D57" s="130" t="n"/>
      <c r="E57" s="14">
        <f>+F56++++F49+F41+F34+F26+F20</f>
        <v/>
      </c>
      <c r="F57" s="130" t="n"/>
    </row>
    <row r="58" ht="15" customHeight="1" s="127">
      <c r="A58" s="47" t="n"/>
      <c r="B58" s="129" t="n"/>
      <c r="C58" s="129" t="n"/>
      <c r="D58" s="129" t="n"/>
      <c r="E58" s="129" t="n"/>
      <c r="F58" s="129" t="n"/>
    </row>
    <row r="59" ht="24.45" customHeight="1" s="127">
      <c r="A59" s="160" t="inlineStr">
        <is>
          <t>TOTAL COSTO DEL PROYECTO (1. INVERSIÓN + 2. OPERACION)</t>
        </is>
      </c>
      <c r="B59" s="129" t="n"/>
      <c r="C59" s="129" t="n"/>
      <c r="D59" s="130" t="n"/>
      <c r="E59" s="161">
        <f>+E57+'Table 1'!E49</f>
        <v/>
      </c>
      <c r="F59" s="130" t="n"/>
      <c r="H59" s="159" t="n"/>
    </row>
    <row r="60" ht="20.25" customHeight="1" s="127">
      <c r="A60" s="53" t="n"/>
      <c r="B60" s="133" t="n"/>
      <c r="C60" s="133" t="n"/>
      <c r="D60" s="133" t="n"/>
      <c r="E60" s="133" t="n"/>
      <c r="F60" s="133" t="n"/>
    </row>
    <row r="61" ht="20.25" customHeight="1" s="127">
      <c r="A61" s="55" t="n"/>
      <c r="B61" s="140" t="n"/>
      <c r="C61" s="141" t="inlineStr">
        <is>
          <t>USUARIO</t>
        </is>
      </c>
      <c r="D61" s="130" t="n"/>
      <c r="E61" s="162" t="inlineStr">
        <is>
          <t>REVISÓ CORPOBOYACA</t>
        </is>
      </c>
      <c r="F61" s="130" t="n"/>
    </row>
    <row r="62" ht="18" customHeight="1" s="127">
      <c r="A62" s="141" t="inlineStr">
        <is>
          <t>NOMBRE</t>
        </is>
      </c>
      <c r="B62" s="130" t="n"/>
      <c r="C62" s="18" t="n"/>
      <c r="D62" s="130" t="n"/>
      <c r="E62" s="6" t="n"/>
      <c r="F62" s="130" t="n"/>
    </row>
    <row r="63" ht="18" customHeight="1" s="127">
      <c r="A63" s="163" t="inlineStr">
        <is>
          <t>IDENTIFICACIÓN</t>
        </is>
      </c>
      <c r="B63" s="130" t="n"/>
      <c r="C63" s="18" t="n"/>
      <c r="D63" s="130" t="n"/>
      <c r="E63" s="164" t="n"/>
      <c r="F63" s="130" t="n"/>
    </row>
    <row r="64" ht="18" customHeight="1" s="127">
      <c r="A64" s="141" t="inlineStr">
        <is>
          <t>DIRECCIÓN</t>
        </is>
      </c>
      <c r="B64" s="130" t="n"/>
      <c r="C64" s="18" t="n"/>
      <c r="D64" s="130" t="n"/>
      <c r="E64" s="164" t="n"/>
      <c r="F64" s="130" t="n"/>
    </row>
    <row r="65" ht="18" customHeight="1" s="127">
      <c r="A65" s="141" t="inlineStr">
        <is>
          <t>TELEFONO</t>
        </is>
      </c>
      <c r="B65" s="130" t="n"/>
      <c r="C65" s="18" t="n"/>
      <c r="D65" s="130" t="n"/>
      <c r="E65" s="164" t="n"/>
      <c r="F65" s="130" t="n"/>
    </row>
    <row r="66" ht="44.4" customHeight="1" s="127">
      <c r="A66" s="141" t="inlineStr">
        <is>
          <t>FIRMA</t>
        </is>
      </c>
      <c r="B66" s="130" t="n"/>
      <c r="C66" s="143" t="n"/>
      <c r="D66" s="130" t="n"/>
      <c r="E66" s="6" t="n"/>
      <c r="F66" s="130" t="n"/>
    </row>
    <row r="67" ht="18" customHeight="1" s="127">
      <c r="A67" s="141" t="inlineStr">
        <is>
          <t>FECHA</t>
        </is>
      </c>
      <c r="B67" s="130" t="n"/>
      <c r="C67" s="18" t="n"/>
      <c r="D67" s="130" t="n"/>
      <c r="E67" s="6" t="n"/>
      <c r="F67" s="130" t="n"/>
    </row>
    <row r="68" ht="18" customHeight="1" s="127">
      <c r="A68" s="141" t="inlineStr">
        <is>
          <t>CARGO/ ROL</t>
        </is>
      </c>
      <c r="B68" s="130" t="n"/>
      <c r="C68" s="164" t="n"/>
      <c r="D68" s="130" t="n"/>
      <c r="E68" s="6" t="n"/>
      <c r="F68" s="130" t="n"/>
    </row>
  </sheetData>
  <mergeCells count="87">
    <mergeCell ref="C62:D62"/>
    <mergeCell ref="A64:B64"/>
    <mergeCell ref="A15:B15"/>
    <mergeCell ref="E62:F62"/>
    <mergeCell ref="A51:B51"/>
    <mergeCell ref="A50:F50"/>
    <mergeCell ref="A1:A4"/>
    <mergeCell ref="C64:D64"/>
    <mergeCell ref="E64:F64"/>
    <mergeCell ref="A54:B54"/>
    <mergeCell ref="A7:B7"/>
    <mergeCell ref="C63:D63"/>
    <mergeCell ref="E1:F1"/>
    <mergeCell ref="A5:F5"/>
    <mergeCell ref="E63:F63"/>
    <mergeCell ref="E65:F65"/>
    <mergeCell ref="A26:E26"/>
    <mergeCell ref="A33:B33"/>
    <mergeCell ref="A58:F58"/>
    <mergeCell ref="A17:B17"/>
    <mergeCell ref="A22:B22"/>
    <mergeCell ref="A53:B53"/>
    <mergeCell ref="A62:B62"/>
    <mergeCell ref="A60:F60"/>
    <mergeCell ref="C67:D67"/>
    <mergeCell ref="A19:B19"/>
    <mergeCell ref="A68:B68"/>
    <mergeCell ref="A28:B28"/>
    <mergeCell ref="A9:B9"/>
    <mergeCell ref="A39:B39"/>
    <mergeCell ref="A48:B48"/>
    <mergeCell ref="A34:E34"/>
    <mergeCell ref="A30:B30"/>
    <mergeCell ref="A11:B11"/>
    <mergeCell ref="A27:F27"/>
    <mergeCell ref="A45:B45"/>
    <mergeCell ref="A49:E49"/>
    <mergeCell ref="E67:F67"/>
    <mergeCell ref="A61:B61"/>
    <mergeCell ref="A42:F42"/>
    <mergeCell ref="A37:B37"/>
    <mergeCell ref="A46:B46"/>
    <mergeCell ref="A59:D59"/>
    <mergeCell ref="A35:F35"/>
    <mergeCell ref="A52:B52"/>
    <mergeCell ref="A63:B63"/>
    <mergeCell ref="A10:B10"/>
    <mergeCell ref="C66:D66"/>
    <mergeCell ref="E66:F66"/>
    <mergeCell ref="C68:D68"/>
    <mergeCell ref="E68:F68"/>
    <mergeCell ref="B1:D1"/>
    <mergeCell ref="A36:B36"/>
    <mergeCell ref="A65:B65"/>
    <mergeCell ref="C65:D65"/>
    <mergeCell ref="A8:F8"/>
    <mergeCell ref="A55:B55"/>
    <mergeCell ref="A12:B12"/>
    <mergeCell ref="E59:F59"/>
    <mergeCell ref="A32:B32"/>
    <mergeCell ref="A14:B14"/>
    <mergeCell ref="C61:D61"/>
    <mergeCell ref="E61:F61"/>
    <mergeCell ref="A23:B23"/>
    <mergeCell ref="E57:F57"/>
    <mergeCell ref="A38:B38"/>
    <mergeCell ref="A20:E20"/>
    <mergeCell ref="A43:B43"/>
    <mergeCell ref="A57:D57"/>
    <mergeCell ref="A40:B40"/>
    <mergeCell ref="A67:B67"/>
    <mergeCell ref="B2:D4"/>
    <mergeCell ref="A24:B24"/>
    <mergeCell ref="A21:F21"/>
    <mergeCell ref="A16:B16"/>
    <mergeCell ref="A25:B25"/>
    <mergeCell ref="A41:E41"/>
    <mergeCell ref="A66:B66"/>
    <mergeCell ref="A18:B18"/>
    <mergeCell ref="A56:E56"/>
    <mergeCell ref="E2:F2"/>
    <mergeCell ref="A47:B47"/>
    <mergeCell ref="A29:B29"/>
    <mergeCell ref="A6:F6"/>
    <mergeCell ref="A13:B13"/>
    <mergeCell ref="A44:B44"/>
    <mergeCell ref="A31:B3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Ingrid Pineda</dc:creator>
  <dcterms:created xmlns:dcterms="http://purl.org/dc/terms/" xmlns:xsi="http://www.w3.org/2001/XMLSchema-instance" xsi:type="dcterms:W3CDTF">2026-03-24T19:14:15Z</dcterms:created>
  <dcterms:modified xmlns:dcterms="http://purl.org/dc/terms/" xmlns:xsi="http://www.w3.org/2001/XMLSchema-instance" xsi:type="dcterms:W3CDTF">2026-10-08T16:14:09Z</dcterms:modified>
  <cp:lastModifiedBy>Forestales</cp:lastModifiedBy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2024-02-20T00:00:00Z</vt:filetime>
  </property>
  <property name="Creator" fmtid="{D5CDD505-2E9C-101B-9397-08002B2CF9AE}" pid="3">
    <vt:lpwstr xmlns:vt="http://schemas.openxmlformats.org/officeDocument/2006/docPropsVTypes">Microsoft® Excel® 2016</vt:lpwstr>
  </property>
  <property name="LastSaved" fmtid="{D5CDD505-2E9C-101B-9397-08002B2CF9AE}" pid="4">
    <vt:filetime xmlns:vt="http://schemas.openxmlformats.org/officeDocument/2006/docPropsVTypes">2026-03-24T00:00:00Z</vt:filetime>
  </property>
  <property name="Producer" fmtid="{D5CDD505-2E9C-101B-9397-08002B2CF9AE}" pid="5">
    <vt:lpwstr xmlns:vt="http://schemas.openxmlformats.org/officeDocument/2006/docPropsVTypes">Microsoft® Excel® 2016</vt:lpwstr>
  </property>
</Properties>
</file>