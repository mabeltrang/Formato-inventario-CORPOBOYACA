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PROYECTO</t>
        </is>
      </c>
      <c r="E1" t="inlineStr">
        <is>
          <t>Proyecto de ejemplo</t>
        </is>
      </c>
    </row>
    <row r="2">
      <c r="D2" t="inlineStr">
        <is>
          <t>PROPIETARIO</t>
        </is>
      </c>
      <c r="E2" t="inlineStr">
        <is>
          <t>Propietario ficticio</t>
        </is>
      </c>
    </row>
    <row r="3">
      <c r="D3" t="inlineStr">
        <is>
          <t>UBICACIÓN</t>
        </is>
      </c>
      <c r="E3" t="inlineStr">
        <is>
          <t>Firavitoba, Boyacá</t>
        </is>
      </c>
    </row>
    <row r="4">
      <c r="D4" t="inlineStr">
        <is>
          <t>FECHA</t>
        </is>
      </c>
      <c r="E4" t="inlineStr">
        <is>
          <t>Septiembre, 2026</t>
        </is>
      </c>
    </row>
    <row r="5">
      <c r="A5" t="inlineStr">
        <is>
          <t>ID</t>
        </is>
      </c>
      <c r="B5" t="inlineStr">
        <is>
          <t>Cobertura</t>
        </is>
      </c>
      <c r="C5" t="inlineStr">
        <is>
          <t>Nombre común</t>
        </is>
      </c>
      <c r="D5" t="inlineStr">
        <is>
          <t>Nombre científico</t>
        </is>
      </c>
      <c r="E5" t="inlineStr">
        <is>
          <t>Familia</t>
        </is>
      </c>
      <c r="F5" t="inlineStr">
        <is>
          <t>CAP A (m)</t>
        </is>
      </c>
      <c r="G5" t="inlineStr">
        <is>
          <t>DAP A (m)</t>
        </is>
      </c>
      <c r="H5" t="inlineStr">
        <is>
          <t>AB A (m2)</t>
        </is>
      </c>
      <c r="I5" t="inlineStr">
        <is>
          <t>CAP B (m)</t>
        </is>
      </c>
      <c r="J5" t="inlineStr">
        <is>
          <t>DAP B (m)</t>
        </is>
      </c>
      <c r="K5" t="inlineStr">
        <is>
          <t>AB B (m2)</t>
        </is>
      </c>
      <c r="L5" t="inlineStr">
        <is>
          <t>CAP C (m)</t>
        </is>
      </c>
      <c r="M5" t="inlineStr">
        <is>
          <t>DAP C (m)</t>
        </is>
      </c>
      <c r="N5" t="inlineStr">
        <is>
          <t>AB C (m2)</t>
        </is>
      </c>
      <c r="O5" t="inlineStr">
        <is>
          <t>CAP D (m)</t>
        </is>
      </c>
      <c r="P5" t="inlineStr">
        <is>
          <t>DAP D (m)</t>
        </is>
      </c>
      <c r="Q5" t="inlineStr">
        <is>
          <t>AB D (m2)</t>
        </is>
      </c>
      <c r="R5" t="inlineStr">
        <is>
          <t>CAP E (m)</t>
        </is>
      </c>
      <c r="S5" t="inlineStr">
        <is>
          <t>DAP E (m)</t>
        </is>
      </c>
      <c r="T5" t="inlineStr">
        <is>
          <t>AB E (m2)</t>
        </is>
      </c>
      <c r="U5" t="inlineStr">
        <is>
          <t>HT (m)</t>
        </is>
      </c>
      <c r="V5" t="inlineStr">
        <is>
          <t>HC (m)</t>
        </is>
      </c>
      <c r="W5" t="inlineStr">
        <is>
          <t>AB T (m2)</t>
        </is>
      </c>
      <c r="X5" t="inlineStr">
        <is>
          <t>VT (m3)</t>
        </is>
      </c>
      <c r="Y5" t="inlineStr">
        <is>
          <t>VC (m3)</t>
        </is>
      </c>
      <c r="Z5" t="inlineStr">
        <is>
          <t xml:space="preserve">Coordenada X </t>
        </is>
      </c>
      <c r="AA5" t="inlineStr">
        <is>
          <t>Coordenada Y</t>
        </is>
      </c>
      <c r="AB5" t="inlineStr">
        <is>
          <t>Municipio</t>
        </is>
      </c>
      <c r="AC5" t="inlineStr">
        <is>
          <t>Departamento</t>
        </is>
      </c>
      <c r="AD5" t="inlineStr">
        <is>
          <t>Estado fitosanitario</t>
        </is>
      </c>
      <c r="AE5" t="inlineStr">
        <is>
          <t>Medida de manejo</t>
        </is>
      </c>
    </row>
    <row r="6">
      <c r="A6" t="n">
        <v>1</v>
      </c>
      <c r="B6" t="inlineStr">
        <is>
          <t>Pastos limpios</t>
        </is>
      </c>
      <c r="C6" t="inlineStr">
        <is>
          <t>Eucalipto</t>
        </is>
      </c>
      <c r="D6" t="inlineStr">
        <is>
          <t>Eucalyptus camaldulensis</t>
        </is>
      </c>
      <c r="E6" t="inlineStr">
        <is>
          <t>Myrtaceae</t>
        </is>
      </c>
      <c r="F6" t="n">
        <v>1.02</v>
      </c>
      <c r="G6">
        <f>F6/PI()</f>
        <v/>
      </c>
      <c r="H6">
        <f>PI()*(G6/2)^2</f>
        <v/>
      </c>
      <c r="U6" t="n">
        <v>6</v>
      </c>
      <c r="W6">
        <f>H6</f>
        <v/>
      </c>
      <c r="X6">
        <f>U6*W6*0.7</f>
        <v/>
      </c>
      <c r="Z6" t="n">
        <v>-73.043514</v>
      </c>
      <c r="AA6" t="n">
        <v>5.687431</v>
      </c>
      <c r="AB6" t="inlineStr">
        <is>
          <t>Firavitoba</t>
        </is>
      </c>
      <c r="AC6" t="inlineStr">
        <is>
          <t>Boyacá</t>
        </is>
      </c>
      <c r="AD6" t="inlineStr">
        <is>
          <t>Bueno</t>
        </is>
      </c>
      <c r="AE6" t="inlineStr">
        <is>
          <t>Tala</t>
        </is>
      </c>
    </row>
    <row r="7">
      <c r="A7" t="n">
        <v>2</v>
      </c>
      <c r="B7" t="inlineStr">
        <is>
          <t>Pastos limpios</t>
        </is>
      </c>
      <c r="C7" t="inlineStr">
        <is>
          <t>Aliso</t>
        </is>
      </c>
      <c r="D7" t="inlineStr">
        <is>
          <t>Alnus acuminata</t>
        </is>
      </c>
      <c r="E7" t="inlineStr">
        <is>
          <t>Betulaceae</t>
        </is>
      </c>
      <c r="F7" t="n">
        <v>0.47</v>
      </c>
      <c r="G7">
        <f>F7/PI()</f>
        <v/>
      </c>
      <c r="H7">
        <f>PI()*(G7/2)^2</f>
        <v/>
      </c>
      <c r="U7" t="n">
        <v>3</v>
      </c>
      <c r="W7">
        <f>H7</f>
        <v/>
      </c>
      <c r="X7">
        <f>U7*W7*0.7</f>
        <v/>
      </c>
      <c r="Z7" t="n">
        <v>-73.043403</v>
      </c>
      <c r="AA7" t="n">
        <v>5.687422</v>
      </c>
      <c r="AB7" t="inlineStr">
        <is>
          <t>Firavitoba</t>
        </is>
      </c>
      <c r="AC7" t="inlineStr">
        <is>
          <t>Boyacá</t>
        </is>
      </c>
      <c r="AD7" t="inlineStr">
        <is>
          <t>Bueno</t>
        </is>
      </c>
      <c r="AE7" t="inlineStr">
        <is>
          <t>Tala</t>
        </is>
      </c>
    </row>
    <row r="8">
      <c r="A8" t="n">
        <v>3</v>
      </c>
      <c r="B8" t="inlineStr">
        <is>
          <t>Pastos limpios</t>
        </is>
      </c>
      <c r="C8" t="inlineStr">
        <is>
          <t>Eucalipto</t>
        </is>
      </c>
      <c r="D8" t="inlineStr">
        <is>
          <t>Eucalyptus camaldulensis</t>
        </is>
      </c>
      <c r="E8" t="inlineStr">
        <is>
          <t>Myrtaceae</t>
        </is>
      </c>
      <c r="F8" t="n">
        <v>0.48</v>
      </c>
      <c r="G8">
        <f>F8/PI()</f>
        <v/>
      </c>
      <c r="H8">
        <f>PI()*(G8/2)^2</f>
        <v/>
      </c>
      <c r="I8" t="n">
        <v>0.45</v>
      </c>
      <c r="J8">
        <f>I8/PI()</f>
        <v/>
      </c>
      <c r="K8">
        <f>PI()*(J8/2)^2</f>
        <v/>
      </c>
      <c r="L8" t="n">
        <v>0.33</v>
      </c>
      <c r="M8">
        <f>L8/PI()</f>
        <v/>
      </c>
      <c r="N8">
        <f>PI()*(M8/2)^2</f>
        <v/>
      </c>
      <c r="U8" t="n">
        <v>5</v>
      </c>
      <c r="W8">
        <f>H8+K8+N8</f>
        <v/>
      </c>
      <c r="X8">
        <f>U8*W8*0.7</f>
        <v/>
      </c>
      <c r="Z8" t="n">
        <v>-73.043578</v>
      </c>
      <c r="AA8" t="n">
        <v>5.686481</v>
      </c>
      <c r="AB8" t="inlineStr">
        <is>
          <t>Firavitoba</t>
        </is>
      </c>
      <c r="AC8" t="inlineStr">
        <is>
          <t>Boyacá</t>
        </is>
      </c>
      <c r="AD8" t="inlineStr">
        <is>
          <t>Bueno</t>
        </is>
      </c>
      <c r="AE8" t="inlineStr">
        <is>
          <t>Tala</t>
        </is>
      </c>
    </row>
    <row r="9">
      <c r="A9" t="n">
        <v>4</v>
      </c>
      <c r="B9" t="inlineStr">
        <is>
          <t>Pastos limpios</t>
        </is>
      </c>
      <c r="C9" t="inlineStr">
        <is>
          <t>Eucalipto</t>
        </is>
      </c>
      <c r="D9" t="inlineStr">
        <is>
          <t>Eucalyptus camaldulensis</t>
        </is>
      </c>
      <c r="E9" t="inlineStr">
        <is>
          <t>Myrtaceae</t>
        </is>
      </c>
      <c r="F9" t="n">
        <v>0.52</v>
      </c>
      <c r="G9">
        <f>F9/PI()</f>
        <v/>
      </c>
      <c r="H9">
        <f>PI()*(G9/2)^2</f>
        <v/>
      </c>
      <c r="I9" t="n">
        <v>0.41</v>
      </c>
      <c r="J9">
        <f>I9/PI()</f>
        <v/>
      </c>
      <c r="K9">
        <f>PI()*(J9/2)^2</f>
        <v/>
      </c>
      <c r="L9" t="n">
        <v>0.38</v>
      </c>
      <c r="M9">
        <f>L9/PI()</f>
        <v/>
      </c>
      <c r="N9">
        <f>PI()*(M9/2)^2</f>
        <v/>
      </c>
      <c r="O9" t="n">
        <v>0.3</v>
      </c>
      <c r="P9">
        <f>O9/PI()</f>
        <v/>
      </c>
      <c r="Q9">
        <f>PI()*(P9/2)^2</f>
        <v/>
      </c>
      <c r="R9" t="n">
        <v>0.25</v>
      </c>
      <c r="S9">
        <f>R9/PI()</f>
        <v/>
      </c>
      <c r="T9">
        <f>PI()*(S9/2)^2</f>
        <v/>
      </c>
      <c r="U9" t="n">
        <v>7</v>
      </c>
      <c r="W9">
        <f>H9+K9+N9+Q9+T9</f>
        <v/>
      </c>
      <c r="X9">
        <f>U9*W9*0.7</f>
        <v/>
      </c>
      <c r="Z9" t="n">
        <v>-73.0441</v>
      </c>
      <c r="AA9" t="n">
        <v>5.6869</v>
      </c>
      <c r="AB9" t="inlineStr">
        <is>
          <t>Firavitoba</t>
        </is>
      </c>
      <c r="AC9" t="inlineStr">
        <is>
          <t>Boyacá</t>
        </is>
      </c>
      <c r="AD9" t="inlineStr">
        <is>
          <t>Bueno</t>
        </is>
      </c>
      <c r="AE9" t="inlineStr">
        <is>
          <t>Tala</t>
        </is>
      </c>
    </row>
    <row r="10">
      <c r="A10" t="n">
        <v>5</v>
      </c>
      <c r="B10" t="inlineStr">
        <is>
          <t>Pastos limpios</t>
        </is>
      </c>
      <c r="C10" t="inlineStr">
        <is>
          <t>Pino</t>
        </is>
      </c>
      <c r="D10" t="inlineStr">
        <is>
          <t>Pinus sp</t>
        </is>
      </c>
      <c r="E10" t="inlineStr">
        <is>
          <t>Pinaceae</t>
        </is>
      </c>
      <c r="F10" t="n">
        <v>0.95</v>
      </c>
      <c r="G10">
        <f>F10/PI()</f>
        <v/>
      </c>
      <c r="H10">
        <f>PI()*(G10/2)^2</f>
        <v/>
      </c>
      <c r="U10" t="n">
        <v>3</v>
      </c>
      <c r="W10">
        <f>H10</f>
        <v/>
      </c>
      <c r="X10">
        <f>U10*W10*0.7</f>
        <v/>
      </c>
      <c r="Z10" t="n">
        <v>-73.04355</v>
      </c>
      <c r="AA10" t="n">
        <v>5.686367</v>
      </c>
      <c r="AB10" t="inlineStr">
        <is>
          <t>Firavitoba</t>
        </is>
      </c>
      <c r="AC10" t="inlineStr">
        <is>
          <t>Boyacá</t>
        </is>
      </c>
      <c r="AD10" t="inlineStr">
        <is>
          <t>Bueno</t>
        </is>
      </c>
      <c r="AE10" t="inlineStr">
        <is>
          <t>Tala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2026-09-26T19:35:18Z</dcterms:created>
  <dcterms:modified xmlns:dcterms="http://purl.org/dc/terms/" xmlns:xsi="http://www.w3.org/2001/XMLSchema-instance" xsi:type="dcterms:W3CDTF">2026-09-26T19:35:18Z</dcterms:modified>
</cp:coreProperties>
</file>